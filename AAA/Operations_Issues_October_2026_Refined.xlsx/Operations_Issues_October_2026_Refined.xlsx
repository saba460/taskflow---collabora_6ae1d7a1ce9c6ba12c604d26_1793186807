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c2cf67164f4c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ctober 2026" sheetId="1" r:id="R900ec71a7273444b"/>
    <x:sheet xmlns:r="http://schemas.openxmlformats.org/officeDocument/2006/relationships" name="Week 1" sheetId="2" r:id="R9f608c19b1ff4667"/>
    <x:sheet xmlns:r="http://schemas.openxmlformats.org/officeDocument/2006/relationships" name="Week 2" sheetId="3" r:id="R1869e9b657d94416"/>
    <x:sheet xmlns:r="http://schemas.openxmlformats.org/officeDocument/2006/relationships" name="Week 3" sheetId="4" r:id="R86f644a46cb04ef2"/>
    <x:sheet xmlns:r="http://schemas.openxmlformats.org/officeDocument/2006/relationships" name="Week 4" sheetId="5" r:id="R7fa029276d164d4a"/>
    <x:sheet xmlns:r="http://schemas.openxmlformats.org/officeDocument/2006/relationships" name="Week 5" sheetId="6" r:id="R57f68f3056504497"/>
    <x:sheet xmlns:r="http://schemas.openxmlformats.org/officeDocument/2006/relationships" name="All Issues" sheetId="7" r:id="R9118bc680a5e48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dd mmm yyyy hh:mm"/>
  </x:numFmts>
  <x:fonts count="39">
    <x:font>
      <x:sz val="11"/>
      <x:name val="Carlito"/>
    </x:font>
    <x:font>
      <x:sz val="10"/>
      <x:color rgb="FF1F2937"/>
      <x:name val="Arial"/>
    </x:font>
    <x:font>
      <x:b/>
      <x:sz val="15"/>
      <x:color rgb="FF17365D"/>
      <x:name val="Arial"/>
    </x:font>
    <x:font>
      <x:i/>
      <x:sz val="10"/>
      <x:color rgb="FF4B5563"/>
      <x:name val="Arial"/>
    </x:font>
    <x:font>
      <x:b/>
      <x:sz val="10"/>
      <x:color rgb="FF17365D"/>
      <x:name val="Arial"/>
    </x:font>
    <x:font>
      <x:b/>
      <x:sz val="14"/>
      <x:color rgb="FF17365D"/>
      <x:name val="Arial"/>
    </x:font>
    <x:font>
      <x:b/>
      <x:sz val="10"/>
      <x:color rgb="FFFFFFFF"/>
      <x:name val="Arial"/>
    </x:font>
    <x:font>
      <x:b/>
      <x:sz val="10"/>
      <x:color rgb="FF375623"/>
      <x:name val="Arial"/>
    </x:font>
    <x:font>
      <x:i/>
      <x:sz val="9"/>
      <x:color rgb="FF4B5563"/>
      <x:name val="Arial"/>
    </x:font>
    <x:font>
      <x:sz val="10"/>
      <x:color rgb="FF0563C1"/>
      <x:name val="Arial"/>
    </x:font>
    <x:font>
      <x:sz val="9"/>
      <x:color rgb="FF0563C1"/>
      <x:name val="Arial"/>
    </x:font>
    <x:font>
      <x:sz val="10"/>
      <x:color rgb="FF1F2937"/>
      <x:name val="Aptos"/>
    </x:font>
    <x:font>
      <x:b/>
      <x:sz val="15"/>
      <x:color rgb="FF17365D"/>
      <x:name val="Aptos"/>
    </x:font>
    <x:font>
      <x:i/>
      <x:sz val="10"/>
      <x:color rgb="FF4B5563"/>
      <x:name val="Aptos"/>
    </x:font>
    <x:font>
      <x:b/>
      <x:sz val="10"/>
      <x:color rgb="FF17365D"/>
      <x:name val="Aptos"/>
    </x:font>
    <x:font>
      <x:b/>
      <x:sz val="14"/>
      <x:color rgb="FF17365D"/>
      <x:name val="Aptos"/>
    </x:font>
    <x:font>
      <x:b/>
      <x:sz val="10"/>
      <x:color rgb="FFFFFFFF"/>
      <x:name val="Aptos"/>
    </x:font>
    <x:font>
      <x:b/>
      <x:sz val="10"/>
      <x:color rgb="FF375623"/>
      <x:name val="Aptos"/>
    </x:font>
    <x:font>
      <x:i/>
      <x:sz val="9"/>
      <x:color rgb="FF4B5563"/>
      <x:name val="Aptos"/>
    </x:font>
    <x:font>
      <x:sz val="10"/>
      <x:color rgb="FF1D2939"/>
      <x:name val="Aptos"/>
    </x:font>
    <x:font>
      <x:b/>
      <x:sz val="10"/>
      <x:color rgb="FF1D2939"/>
      <x:name val="Aptos"/>
    </x:font>
    <x:font>
      <x:i/>
      <x:sz val="10"/>
      <x:color rgb="FF1D2939"/>
      <x:name val="Aptos"/>
    </x:font>
    <x:font>
      <x:b/>
      <x:sz val="20"/>
      <x:color rgb="FF1D2939"/>
      <x:name val="Aptos"/>
    </x:font>
    <x:font>
      <x:b/>
      <x:sz val="20"/>
      <x:color rgb="FF102445"/>
      <x:name val="Aptos"/>
    </x:font>
    <x:font>
      <x:i/>
      <x:sz val="10"/>
      <x:color rgb="FF5F6B7A"/>
      <x:name val="Aptos"/>
    </x:font>
    <x:font>
      <x:sz val="10"/>
      <x:color rgb="FF5F6B7A"/>
      <x:name val="Aptos"/>
    </x:font>
    <x:font>
      <x:b/>
      <x:sz val="10"/>
      <x:color rgb="FF102445"/>
      <x:name val="Aptos"/>
    </x:font>
    <x:font>
      <x:b/>
      <x:sz val="18"/>
      <x:color rgb="FF1D2939"/>
      <x:name val="Aptos"/>
    </x:font>
    <x:font>
      <x:b/>
      <x:sz val="18"/>
      <x:color rgb="FF0561FC"/>
      <x:name val="Aptos"/>
    </x:font>
    <x:font>
      <x:sz val="10"/>
      <x:color rgb="FF0561FC"/>
      <x:name val="Aptos"/>
    </x:font>
    <x:font>
      <x:b/>
      <x:sz val="10"/>
      <x:color rgb="FF0561FC"/>
      <x:name val="Aptos"/>
    </x:font>
    <x:font>
      <x:sz val="10"/>
      <x:color rgb="FF17664B"/>
      <x:name val="Aptos"/>
    </x:font>
    <x:font>
      <x:sz val="9"/>
      <x:color rgb="FF0563C1"/>
      <x:name val="Aptos"/>
    </x:font>
    <x:font>
      <x:sz val="10"/>
      <x:color rgb="FF0563C1"/>
      <x:name val="Aptos"/>
    </x:font>
    <x:font>
      <x:b/>
      <x:sz val="19"/>
      <x:color rgb="FF1D2939"/>
      <x:name val="Aptos"/>
    </x:font>
    <x:font>
      <x:sz val="19"/>
      <x:color rgb="FF1D2939"/>
      <x:name val="Aptos"/>
    </x:font>
    <x:font>
      <x:b/>
      <x:sz val="19"/>
      <x:color rgb="FF102445"/>
      <x:name val="Aptos"/>
    </x:font>
    <x:font>
      <x:b/>
      <x:sz val="17"/>
      <x:color rgb="FF1D2939"/>
      <x:name val="Aptos"/>
    </x:font>
    <x:font>
      <x:b/>
      <x:sz val="17"/>
      <x:color rgb="FF0561FC"/>
      <x:name val="Aptos"/>
    </x:font>
  </x:fonts>
  <x:fills count="10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17365D"/>
      </x:patternFill>
    </x:fill>
    <x:fill>
      <x:patternFill patternType="solid">
        <x:fgColor rgb="FFE7E6E6"/>
      </x:patternFill>
    </x:fill>
    <x:fill>
      <x:patternFill patternType="solid">
        <x:fgColor rgb="FFEEF4FF"/>
      </x:patternFill>
    </x:fill>
    <x:fill>
      <x:patternFill patternType="solid">
        <x:fgColor rgb="FF102445"/>
      </x:patternFill>
    </x:fill>
    <x:fill>
      <x:patternFill patternType="solid">
        <x:fgColor rgb="FFF8FAFD"/>
      </x:patternFill>
    </x:fill>
    <x:fill>
      <x:patternFill patternType="solid">
        <x:fgColor rgb="FFF6F9FE"/>
      </x:patternFill>
    </x:fill>
  </x:fills>
  <x:borders count="24">
    <x:border/>
    <x:border>
      <x:bottom style="thin">
        <x:color rgb="FF17365D"/>
      </x:bottom>
    </x:border>
    <x:border>
      <x:left style="thin">
        <x:color rgb="FFC7D2E0"/>
      </x:left>
      <x:top style="thin">
        <x:color rgb="FFC7D2E0"/>
      </x:top>
    </x:border>
    <x:border>
      <x:top style="thin">
        <x:color rgb="FFC7D2E0"/>
      </x:top>
    </x:border>
    <x:border>
      <x:right style="thin">
        <x:color rgb="FFC7D2E0"/>
      </x:right>
      <x:top style="thin">
        <x:color rgb="FFC7D2E0"/>
      </x:top>
    </x:border>
    <x:border>
      <x:left style="thin">
        <x:color rgb="FFC7D2E0"/>
      </x:left>
      <x:bottom style="thin">
        <x:color rgb="FFC7D2E0"/>
      </x:bottom>
    </x:border>
    <x:border>
      <x:bottom style="thin">
        <x:color rgb="FFC7D2E0"/>
      </x:bottom>
    </x:border>
    <x:border>
      <x:right style="thin">
        <x:color rgb="FFC7D2E0"/>
      </x:right>
      <x:bottom style="thin">
        <x:color rgb="FFC7D2E0"/>
      </x:bottom>
    </x:border>
    <x:border>
      <x:right style="thin">
        <x:color rgb="FFFFFFFF"/>
      </x:right>
      <x:bottom style="thin">
        <x:color rgb="FFFFFFFF"/>
      </x:bottom>
    </x:border>
    <x:border>
      <x:left style="thin">
        <x:color rgb="FFFFFFFF"/>
      </x:left>
      <x:right style="thin">
        <x:color rgb="FFFFFFFF"/>
      </x:right>
      <x:bottom style="thin">
        <x:color rgb="FFFFFFFF"/>
      </x:bottom>
    </x:border>
    <x:border>
      <x:left style="thin">
        <x:color rgb="FFFFFFFF"/>
      </x:left>
      <x:bottom style="thin">
        <x:color rgb="FFFFFFFF"/>
      </x:bottom>
    </x:border>
    <x:border>
      <x:top style="thin">
        <x:color rgb="FFC7D2E0"/>
      </x:top>
      <x:bottom style="thin">
        <x:color rgb="FFC7D2E0"/>
      </x:bottom>
    </x:border>
    <x:border/>
    <x:border>
      <x:bottom style="thin">
        <x:color rgb="FF17365D"/>
      </x:bottom>
    </x:border>
    <x:border>
      <x:left style="thin">
        <x:color rgb="FFC7D2E0"/>
      </x:left>
      <x:top style="thin">
        <x:color rgb="FFC7D2E0"/>
      </x:top>
    </x:border>
    <x:border>
      <x:top style="thin">
        <x:color rgb="FFC7D2E0"/>
      </x:top>
    </x:border>
    <x:border>
      <x:right style="thin">
        <x:color rgb="FFC7D2E0"/>
      </x:right>
      <x:top style="thin">
        <x:color rgb="FFC7D2E0"/>
      </x:top>
    </x:border>
    <x:border>
      <x:left style="thin">
        <x:color rgb="FFC7D2E0"/>
      </x:left>
      <x:bottom style="thin">
        <x:color rgb="FFC7D2E0"/>
      </x:bottom>
    </x:border>
    <x:border>
      <x:bottom style="thin">
        <x:color rgb="FFC7D2E0"/>
      </x:bottom>
    </x:border>
    <x:border>
      <x:right style="thin">
        <x:color rgb="FFC7D2E0"/>
      </x:right>
      <x:bottom style="thin">
        <x:color rgb="FFC7D2E0"/>
      </x:bottom>
    </x:border>
    <x:border>
      <x:right style="thin">
        <x:color rgb="FFFFFFFF"/>
      </x:right>
      <x:bottom style="thin">
        <x:color rgb="FFFFFFFF"/>
      </x:bottom>
    </x:border>
    <x:border>
      <x:left style="thin">
        <x:color rgb="FFFFFFFF"/>
      </x:left>
      <x:right style="thin">
        <x:color rgb="FFFFFFFF"/>
      </x:right>
      <x:bottom style="thin">
        <x:color rgb="FFFFFFFF"/>
      </x:bottom>
    </x:border>
    <x:border>
      <x:left style="thin">
        <x:color rgb="FFFFFFFF"/>
      </x:left>
      <x:bottom style="thin">
        <x:color rgb="FFFFFFFF"/>
      </x:bottom>
    </x:border>
    <x:border>
      <x:top style="thin">
        <x:color rgb="FFC7D2E0"/>
      </x:top>
      <x:bottom style="thin">
        <x:color rgb="FFC7D2E0"/>
      </x:bottom>
    </x:border>
  </x:borders>
  <x:cellStyleXfs count="1">
    <x:xf numFmtId="0" fontId="0" fillId="0" borderId="0"/>
  </x:cellStyleXfs>
  <x:cellXfs count="47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horizontal="center" vertical="center"/>
    </x:xf>
    <x:xf numFmtId="200" fontId="5" fillId="0" borderId="0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4" fillId="2" borderId="4" xfId="0" applyNumberFormat="1" applyFont="1" applyFill="1" applyBorder="1" applyAlignment="1">
      <x:alignment horizontal="center" vertical="center"/>
    </x:xf>
    <x:xf numFmtId="0" fontId="5" fillId="0" borderId="5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 applyAlignment="1">
      <x:alignment horizontal="center" vertical="center"/>
    </x:xf>
    <x:xf numFmtId="200" fontId="5" fillId="0" borderId="6" xfId="0" applyNumberFormat="1" applyFont="1" applyFill="1" applyBorder="1" applyAlignment="1">
      <x:alignment horizontal="center" vertical="center"/>
    </x:xf>
    <x:xf numFmtId="0" fontId="5" fillId="0" borderId="7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6" fillId="4" borderId="8" xfId="0" applyNumberFormat="1" applyFont="1" applyFill="1" applyBorder="1" applyAlignment="1">
      <x:alignment horizontal="center" vertical="center" wrapText="1"/>
    </x:xf>
    <x:xf numFmtId="0" fontId="6" fillId="4" borderId="9" xfId="0" applyNumberFormat="1" applyFont="1" applyFill="1" applyBorder="1" applyAlignment="1">
      <x:alignment horizontal="center" vertical="center" wrapText="1"/>
    </x:xf>
    <x:xf numFmtId="0" fontId="6" fillId="4" borderId="1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200" fontId="1" fillId="0" borderId="6" xfId="0" applyNumberFormat="1" applyFont="1" applyFill="1" applyBorder="1" applyAlignment="1">
      <x:alignment vertical="center"/>
    </x:xf>
    <x:xf numFmtId="0" fontId="1" fillId="0" borderId="11" xfId="0" applyNumberFormat="1" applyFont="1" applyFill="1" applyBorder="1" applyAlignment="1">
      <x:alignment vertical="center"/>
    </x:xf>
    <x:xf numFmtId="200" fontId="1" fillId="0" borderId="11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top"/>
    </x:xf>
    <x:xf numFmtId="200" fontId="1" fillId="0" borderId="6" xfId="0" applyNumberFormat="1" applyFont="1" applyFill="1" applyBorder="1" applyAlignment="1">
      <x:alignment vertical="top"/>
    </x:xf>
    <x:xf numFmtId="0" fontId="1" fillId="0" borderId="11" xfId="0" applyNumberFormat="1" applyFont="1" applyFill="1" applyBorder="1" applyAlignment="1">
      <x:alignment vertical="top"/>
    </x:xf>
    <x:xf numFmtId="200" fontId="1" fillId="0" borderId="11" xfId="0" applyNumberFormat="1" applyFont="1" applyFill="1" applyBorder="1" applyAlignment="1">
      <x:alignment vertical="top"/>
    </x:xf>
    <x:xf numFmtId="201" fontId="1" fillId="0" borderId="6" xfId="0" applyNumberFormat="1" applyFont="1" applyFill="1" applyBorder="1" applyAlignment="1">
      <x:alignment vertical="top"/>
    </x:xf>
    <x:xf numFmtId="201" fontId="1" fillId="0" borderId="11" xfId="0" applyNumberFormat="1" applyFont="1" applyFill="1" applyBorder="1" applyAlignment="1">
      <x:alignment vertical="top"/>
    </x:xf>
    <x:xf numFmtId="201" fontId="1" fillId="0" borderId="6" xfId="0" applyNumberFormat="1" applyFont="1" applyFill="1" applyBorder="1" applyAlignment="1">
      <x:alignment horizontal="center" vertical="top"/>
    </x:xf>
    <x:xf numFmtId="201" fontId="1" fillId="0" borderId="11" xfId="0" applyNumberFormat="1" applyFont="1" applyFill="1" applyBorder="1" applyAlignment="1">
      <x:alignment horizontal="center" vertical="top"/>
    </x:xf>
    <x:xf numFmtId="0" fontId="1" fillId="0" borderId="6" xfId="0" applyNumberFormat="1" applyFont="1" applyFill="1" applyBorder="1" applyAlignment="1">
      <x:alignment vertical="top" wrapText="1"/>
    </x:xf>
    <x:xf numFmtId="0" fontId="1" fillId="0" borderId="11" xfId="0" applyNumberFormat="1" applyFont="1" applyFill="1" applyBorder="1" applyAlignment="1">
      <x:alignment vertical="top" wrapText="1"/>
    </x:xf>
    <x:xf numFmtId="200" fontId="1" fillId="0" borderId="6" xfId="0" applyNumberFormat="1" applyFont="1" applyFill="1" applyBorder="1" applyAlignment="1">
      <x:alignment horizontal="right" vertical="top"/>
    </x:xf>
    <x:xf numFmtId="200" fontId="1" fillId="0" borderId="11" xfId="0" applyNumberFormat="1" applyFont="1" applyFill="1" applyBorder="1" applyAlignment="1">
      <x:alignment horizontal="right" vertical="top"/>
    </x:xf>
    <x:xf numFmtId="0" fontId="7" fillId="0" borderId="6" xfId="0" applyNumberFormat="1" applyFont="1" applyFill="1" applyBorder="1" applyAlignment="1">
      <x:alignment vertical="top"/>
    </x:xf>
    <x:xf numFmtId="0" fontId="7" fillId="0" borderId="11" xfId="0" applyNumberFormat="1" applyFont="1" applyFill="1" applyBorder="1" applyAlignment="1">
      <x:alignment vertical="top"/>
    </x:xf>
    <x:xf numFmtId="0" fontId="1" fillId="5" borderId="0" xfId="0" applyNumberFormat="1" applyFont="1" applyFill="1" applyBorder="1" applyAlignment="1">
      <x:alignment vertical="center"/>
    </x:xf>
    <x:xf numFmtId="0" fontId="8" fillId="5" borderId="0" xfId="0" applyNumberFormat="1" applyFont="1" applyFill="1" applyBorder="1" applyAlignment="1">
      <x:alignment vertical="center"/>
    </x:xf>
    <x:xf numFmtId="0" fontId="8" fillId="5" borderId="0" xfId="0" applyNumberFormat="1" applyFont="1" applyFill="1" applyBorder="1" applyAlignment="1">
      <x:alignment vertical="center" wrapText="1"/>
    </x:xf>
    <x:xf numFmtId="0" fontId="9" fillId="0" borderId="6" xfId="0" applyNumberFormat="1" applyFont="1" applyFill="1" applyBorder="1" applyAlignment="1">
      <x:alignment vertical="top"/>
    </x:xf>
    <x:xf numFmtId="0" fontId="10" fillId="0" borderId="6" xfId="0" applyNumberFormat="1" applyFont="1" applyFill="1" applyBorder="1" applyAlignment="1">
      <x:alignment vertical="top"/>
    </x:xf>
    <x:xf numFmtId="0" fontId="9" fillId="0" borderId="11" xfId="0" applyNumberFormat="1" applyFont="1" applyFill="1" applyBorder="1" applyAlignment="1">
      <x:alignment vertical="top"/>
    </x:xf>
    <x:xf numFmtId="0" fontId="10" fillId="0" borderId="11" xfId="0" applyNumberFormat="1" applyFont="1" applyFill="1" applyBorder="1" applyAlignment="1">
      <x:alignment vertical="top"/>
    </x:xf>
    <x:xf numFmtId="201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201" fontId="1" fillId="0" borderId="6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 wrapText="1"/>
    </x:xf>
    <x:xf numFmtId="0" fontId="7" fillId="0" borderId="6" xfId="0" applyNumberFormat="1" applyFont="1" applyFill="1" applyBorder="1" applyAlignment="1">
      <x:alignment vertical="center"/>
    </x:xf>
    <x:xf numFmtId="0" fontId="10" fillId="0" borderId="6" xfId="0" applyNumberFormat="1" applyFont="1" applyFill="1" applyBorder="1" applyAlignment="1">
      <x:alignment vertical="center"/>
    </x:xf>
    <x:xf numFmtId="201" fontId="1" fillId="0" borderId="11" xfId="0" applyNumberFormat="1" applyFont="1" applyFill="1" applyBorder="1" applyAlignment="1">
      <x:alignment vertical="center"/>
    </x:xf>
    <x:xf numFmtId="0" fontId="1" fillId="0" borderId="11" xfId="0" applyNumberFormat="1" applyFont="1" applyFill="1" applyBorder="1" applyAlignment="1">
      <x:alignment vertical="center" wrapText="1"/>
    </x:xf>
    <x:xf numFmtId="0" fontId="7" fillId="0" borderId="11" xfId="0" applyNumberFormat="1" applyFont="1" applyFill="1" applyBorder="1" applyAlignment="1">
      <x:alignment vertical="center"/>
    </x:xf>
    <x:xf numFmtId="0" fontId="10" fillId="0" borderId="11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/>
    <x:xf numFmtId="0" fontId="1" fillId="0" borderId="12" xfId="0" applyNumberFormat="1" applyFont="1" applyFill="1" applyBorder="1"/>
    <x:xf numFmtId="0" fontId="1" fillId="0" borderId="12" xfId="0" applyNumberFormat="1" applyFont="1" applyFill="1" applyBorder="1" applyAlignment="1">
      <x:alignment vertical="center"/>
    </x:xf>
    <x:xf numFmtId="0" fontId="2" fillId="0" borderId="12" xfId="0" applyNumberFormat="1" applyFont="1" applyFill="1" applyBorder="1" applyAlignment="1">
      <x:alignment vertical="center"/>
    </x:xf>
    <x:xf numFmtId="0" fontId="3" fillId="0" borderId="12" xfId="0" applyNumberFormat="1" applyFont="1" applyFill="1" applyBorder="1" applyAlignment="1">
      <x:alignment vertical="center"/>
    </x:xf>
    <x:xf numFmtId="0" fontId="1" fillId="0" borderId="13" xfId="0" applyNumberFormat="1" applyFont="1" applyFill="1" applyBorder="1" applyAlignment="1">
      <x:alignment vertical="center"/>
    </x:xf>
    <x:xf numFmtId="0" fontId="1" fillId="2" borderId="12" xfId="0" applyNumberFormat="1" applyFont="1" applyFill="1" applyBorder="1" applyAlignment="1">
      <x:alignment vertical="center"/>
    </x:xf>
    <x:xf numFmtId="0" fontId="4" fillId="2" borderId="12" xfId="0" applyNumberFormat="1" applyFont="1" applyFill="1" applyBorder="1" applyAlignment="1">
      <x:alignment vertical="center"/>
    </x:xf>
    <x:xf numFmtId="0" fontId="4" fillId="2" borderId="12" xfId="0" applyNumberFormat="1" applyFont="1" applyFill="1" applyBorder="1" applyAlignment="1">
      <x:alignment horizontal="center" vertical="center"/>
    </x:xf>
    <x:xf numFmtId="0" fontId="5" fillId="0" borderId="12" xfId="0" applyNumberFormat="1" applyFont="1" applyFill="1" applyBorder="1" applyAlignment="1">
      <x:alignment vertical="center"/>
    </x:xf>
    <x:xf numFmtId="0" fontId="5" fillId="0" borderId="12" xfId="0" applyNumberFormat="1" applyFont="1" applyFill="1" applyBorder="1" applyAlignment="1">
      <x:alignment horizontal="center" vertical="center"/>
    </x:xf>
    <x:xf numFmtId="200" fontId="5" fillId="0" borderId="12" xfId="0" applyNumberFormat="1" applyFont="1" applyFill="1" applyBorder="1" applyAlignment="1">
      <x:alignment horizontal="center" vertical="center"/>
    </x:xf>
    <x:xf numFmtId="0" fontId="4" fillId="2" borderId="14" xfId="0" applyNumberFormat="1" applyFont="1" applyFill="1" applyBorder="1" applyAlignment="1">
      <x:alignment horizontal="center" vertical="center"/>
    </x:xf>
    <x:xf numFmtId="0" fontId="4" fillId="2" borderId="15" xfId="0" applyNumberFormat="1" applyFont="1" applyFill="1" applyBorder="1" applyAlignment="1">
      <x:alignment horizontal="center" vertical="center"/>
    </x:xf>
    <x:xf numFmtId="0" fontId="4" fillId="2" borderId="16" xfId="0" applyNumberFormat="1" applyFont="1" applyFill="1" applyBorder="1" applyAlignment="1">
      <x:alignment horizontal="center" vertical="center"/>
    </x:xf>
    <x:xf numFmtId="0" fontId="5" fillId="0" borderId="17" xfId="0" applyNumberFormat="1" applyFont="1" applyFill="1" applyBorder="1" applyAlignment="1">
      <x:alignment horizontal="center" vertical="center"/>
    </x:xf>
    <x:xf numFmtId="0" fontId="5" fillId="0" borderId="18" xfId="0" applyNumberFormat="1" applyFont="1" applyFill="1" applyBorder="1" applyAlignment="1">
      <x:alignment horizontal="center" vertical="center"/>
    </x:xf>
    <x:xf numFmtId="200" fontId="5" fillId="0" borderId="18" xfId="0" applyNumberFormat="1" applyFont="1" applyFill="1" applyBorder="1" applyAlignment="1">
      <x:alignment horizontal="center" vertical="center"/>
    </x:xf>
    <x:xf numFmtId="0" fontId="5" fillId="0" borderId="19" xfId="0" applyNumberFormat="1" applyFont="1" applyFill="1" applyBorder="1" applyAlignment="1">
      <x:alignment horizontal="center" vertical="center"/>
    </x:xf>
    <x:xf numFmtId="0" fontId="1" fillId="3" borderId="12" xfId="0" applyNumberFormat="1" applyFont="1" applyFill="1" applyBorder="1" applyAlignment="1">
      <x:alignment vertical="center"/>
    </x:xf>
    <x:xf numFmtId="0" fontId="6" fillId="3" borderId="12" xfId="0" applyNumberFormat="1" applyFont="1" applyFill="1" applyBorder="1" applyAlignment="1">
      <x:alignment vertical="center"/>
    </x:xf>
    <x:xf numFmtId="0" fontId="6" fillId="0" borderId="12" xfId="0" applyNumberFormat="1" applyFont="1" applyFill="1" applyBorder="1" applyAlignment="1">
      <x:alignment vertical="center"/>
    </x:xf>
    <x:xf numFmtId="0" fontId="1" fillId="4" borderId="12" xfId="0" applyNumberFormat="1" applyFont="1" applyFill="1" applyBorder="1" applyAlignment="1">
      <x:alignment vertical="center"/>
    </x:xf>
    <x:xf numFmtId="0" fontId="6" fillId="4" borderId="12" xfId="0" applyNumberFormat="1" applyFont="1" applyFill="1" applyBorder="1" applyAlignment="1">
      <x:alignment vertical="center"/>
    </x:xf>
    <x:xf numFmtId="0" fontId="6" fillId="4" borderId="12" xfId="0" applyNumberFormat="1" applyFont="1" applyFill="1" applyBorder="1" applyAlignment="1">
      <x:alignment horizontal="center" vertical="center"/>
    </x:xf>
    <x:xf numFmtId="0" fontId="6" fillId="4" borderId="12" xfId="0" applyNumberFormat="1" applyFont="1" applyFill="1" applyBorder="1" applyAlignment="1">
      <x:alignment horizontal="center" vertical="center" wrapText="1"/>
    </x:xf>
    <x:xf numFmtId="0" fontId="6" fillId="4" borderId="20" xfId="0" applyNumberFormat="1" applyFont="1" applyFill="1" applyBorder="1" applyAlignment="1">
      <x:alignment horizontal="center" vertical="center" wrapText="1"/>
    </x:xf>
    <x:xf numFmtId="0" fontId="6" fillId="4" borderId="21" xfId="0" applyNumberFormat="1" applyFont="1" applyFill="1" applyBorder="1" applyAlignment="1">
      <x:alignment horizontal="center" vertical="center" wrapText="1"/>
    </x:xf>
    <x:xf numFmtId="0" fontId="6" fillId="4" borderId="22" xfId="0" applyNumberFormat="1" applyFont="1" applyFill="1" applyBorder="1" applyAlignment="1">
      <x:alignment horizontal="center" vertical="center" wrapText="1"/>
    </x:xf>
    <x:xf numFmtId="200" fontId="1" fillId="0" borderId="12" xfId="0" applyNumberFormat="1" applyFont="1" applyFill="1" applyBorder="1" applyAlignment="1">
      <x:alignment vertical="center"/>
    </x:xf>
    <x:xf numFmtId="0" fontId="1" fillId="0" borderId="18" xfId="0" applyNumberFormat="1" applyFont="1" applyFill="1" applyBorder="1" applyAlignment="1">
      <x:alignment vertical="center"/>
    </x:xf>
    <x:xf numFmtId="200" fontId="1" fillId="0" borderId="18" xfId="0" applyNumberFormat="1" applyFont="1" applyFill="1" applyBorder="1" applyAlignment="1">
      <x:alignment vertical="center"/>
    </x:xf>
    <x:xf numFmtId="0" fontId="1" fillId="0" borderId="23" xfId="0" applyNumberFormat="1" applyFont="1" applyFill="1" applyBorder="1" applyAlignment="1">
      <x:alignment vertical="center"/>
    </x:xf>
    <x:xf numFmtId="200" fontId="1" fillId="0" borderId="23" xfId="0" applyNumberFormat="1" applyFont="1" applyFill="1" applyBorder="1" applyAlignment="1">
      <x:alignment vertical="center"/>
    </x:xf>
    <x:xf numFmtId="0" fontId="1" fillId="0" borderId="18" xfId="0" applyNumberFormat="1" applyFont="1" applyFill="1" applyBorder="1" applyAlignment="1">
      <x:alignment vertical="top"/>
    </x:xf>
    <x:xf numFmtId="200" fontId="1" fillId="0" borderId="18" xfId="0" applyNumberFormat="1" applyFont="1" applyFill="1" applyBorder="1" applyAlignment="1">
      <x:alignment vertical="top"/>
    </x:xf>
    <x:xf numFmtId="0" fontId="1" fillId="0" borderId="23" xfId="0" applyNumberFormat="1" applyFont="1" applyFill="1" applyBorder="1" applyAlignment="1">
      <x:alignment vertical="top"/>
    </x:xf>
    <x:xf numFmtId="200" fontId="1" fillId="0" borderId="23" xfId="0" applyNumberFormat="1" applyFont="1" applyFill="1" applyBorder="1" applyAlignment="1">
      <x:alignment vertical="top"/>
    </x:xf>
    <x:xf numFmtId="201" fontId="1" fillId="0" borderId="18" xfId="0" applyNumberFormat="1" applyFont="1" applyFill="1" applyBorder="1" applyAlignment="1">
      <x:alignment vertical="top"/>
    </x:xf>
    <x:xf numFmtId="201" fontId="1" fillId="0" borderId="23" xfId="0" applyNumberFormat="1" applyFont="1" applyFill="1" applyBorder="1" applyAlignment="1">
      <x:alignment vertical="top"/>
    </x:xf>
    <x:xf numFmtId="201" fontId="1" fillId="0" borderId="18" xfId="0" applyNumberFormat="1" applyFont="1" applyFill="1" applyBorder="1" applyAlignment="1">
      <x:alignment horizontal="center" vertical="top"/>
    </x:xf>
    <x:xf numFmtId="201" fontId="1" fillId="0" borderId="23" xfId="0" applyNumberFormat="1" applyFont="1" applyFill="1" applyBorder="1" applyAlignment="1">
      <x:alignment horizontal="center" vertical="top"/>
    </x:xf>
    <x:xf numFmtId="0" fontId="1" fillId="0" borderId="18" xfId="0" applyNumberFormat="1" applyFont="1" applyFill="1" applyBorder="1" applyAlignment="1">
      <x:alignment vertical="top" wrapText="1"/>
    </x:xf>
    <x:xf numFmtId="0" fontId="1" fillId="0" borderId="23" xfId="0" applyNumberFormat="1" applyFont="1" applyFill="1" applyBorder="1" applyAlignment="1">
      <x:alignment vertical="top" wrapText="1"/>
    </x:xf>
    <x:xf numFmtId="200" fontId="1" fillId="0" borderId="18" xfId="0" applyNumberFormat="1" applyFont="1" applyFill="1" applyBorder="1" applyAlignment="1">
      <x:alignment horizontal="right" vertical="top"/>
    </x:xf>
    <x:xf numFmtId="200" fontId="1" fillId="0" borderId="23" xfId="0" applyNumberFormat="1" applyFont="1" applyFill="1" applyBorder="1" applyAlignment="1">
      <x:alignment horizontal="right" vertical="top"/>
    </x:xf>
    <x:xf numFmtId="0" fontId="7" fillId="0" borderId="18" xfId="0" applyNumberFormat="1" applyFont="1" applyFill="1" applyBorder="1" applyAlignment="1">
      <x:alignment vertical="top"/>
    </x:xf>
    <x:xf numFmtId="0" fontId="7" fillId="0" borderId="23" xfId="0" applyNumberFormat="1" applyFont="1" applyFill="1" applyBorder="1" applyAlignment="1">
      <x:alignment vertical="top"/>
    </x:xf>
    <x:xf numFmtId="0" fontId="1" fillId="5" borderId="12" xfId="0" applyNumberFormat="1" applyFont="1" applyFill="1" applyBorder="1" applyAlignment="1">
      <x:alignment vertical="center"/>
    </x:xf>
    <x:xf numFmtId="0" fontId="8" fillId="5" borderId="12" xfId="0" applyNumberFormat="1" applyFont="1" applyFill="1" applyBorder="1" applyAlignment="1">
      <x:alignment vertical="center"/>
    </x:xf>
    <x:xf numFmtId="0" fontId="8" fillId="5" borderId="12" xfId="0" applyNumberFormat="1" applyFont="1" applyFill="1" applyBorder="1" applyAlignment="1">
      <x:alignment vertical="center" wrapText="1"/>
    </x:xf>
    <x:xf numFmtId="0" fontId="9" fillId="0" borderId="18" xfId="0" applyNumberFormat="1" applyFont="1" applyFill="1" applyBorder="1" applyAlignment="1">
      <x:alignment vertical="top"/>
    </x:xf>
    <x:xf numFmtId="0" fontId="10" fillId="0" borderId="18" xfId="0" applyNumberFormat="1" applyFont="1" applyFill="1" applyBorder="1" applyAlignment="1">
      <x:alignment vertical="top"/>
    </x:xf>
    <x:xf numFmtId="0" fontId="9" fillId="0" borderId="23" xfId="0" applyNumberFormat="1" applyFont="1" applyFill="1" applyBorder="1" applyAlignment="1">
      <x:alignment vertical="top"/>
    </x:xf>
    <x:xf numFmtId="0" fontId="10" fillId="0" borderId="23" xfId="0" applyNumberFormat="1" applyFont="1" applyFill="1" applyBorder="1" applyAlignment="1">
      <x:alignment vertical="top"/>
    </x:xf>
    <x:xf numFmtId="201" fontId="1" fillId="0" borderId="12" xfId="0" applyNumberFormat="1" applyFont="1" applyFill="1" applyBorder="1" applyAlignment="1">
      <x:alignment vertical="center"/>
    </x:xf>
    <x:xf numFmtId="0" fontId="1" fillId="0" borderId="12" xfId="0" applyNumberFormat="1" applyFont="1" applyFill="1" applyBorder="1" applyAlignment="1">
      <x:alignment vertical="center" wrapText="1"/>
    </x:xf>
    <x:xf numFmtId="0" fontId="10" fillId="0" borderId="12" xfId="0" applyNumberFormat="1" applyFont="1" applyFill="1" applyBorder="1" applyAlignment="1">
      <x:alignment vertical="center"/>
    </x:xf>
    <x:xf numFmtId="0" fontId="7" fillId="0" borderId="12" xfId="0" applyNumberFormat="1" applyFont="1" applyFill="1" applyBorder="1" applyAlignment="1">
      <x:alignment vertical="center"/>
    </x:xf>
    <x:xf numFmtId="201" fontId="1" fillId="0" borderId="18" xfId="0" applyNumberFormat="1" applyFont="1" applyFill="1" applyBorder="1" applyAlignment="1">
      <x:alignment vertical="center"/>
    </x:xf>
    <x:xf numFmtId="0" fontId="1" fillId="0" borderId="18" xfId="0" applyNumberFormat="1" applyFont="1" applyFill="1" applyBorder="1" applyAlignment="1">
      <x:alignment vertical="center" wrapText="1"/>
    </x:xf>
    <x:xf numFmtId="0" fontId="7" fillId="0" borderId="18" xfId="0" applyNumberFormat="1" applyFont="1" applyFill="1" applyBorder="1" applyAlignment="1">
      <x:alignment vertical="center"/>
    </x:xf>
    <x:xf numFmtId="0" fontId="10" fillId="0" borderId="18" xfId="0" applyNumberFormat="1" applyFont="1" applyFill="1" applyBorder="1" applyAlignment="1">
      <x:alignment vertical="center"/>
    </x:xf>
    <x:xf numFmtId="201" fontId="1" fillId="0" borderId="23" xfId="0" applyNumberFormat="1" applyFont="1" applyFill="1" applyBorder="1" applyAlignment="1">
      <x:alignment vertical="center"/>
    </x:xf>
    <x:xf numFmtId="0" fontId="1" fillId="0" borderId="23" xfId="0" applyNumberFormat="1" applyFont="1" applyFill="1" applyBorder="1" applyAlignment="1">
      <x:alignment vertical="center" wrapText="1"/>
    </x:xf>
    <x:xf numFmtId="0" fontId="7" fillId="0" borderId="23" xfId="0" applyNumberFormat="1" applyFont="1" applyFill="1" applyBorder="1" applyAlignment="1">
      <x:alignment vertical="center"/>
    </x:xf>
    <x:xf numFmtId="0" fontId="10" fillId="0" borderId="23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 applyAlignment="1">
      <x:alignment vertical="center"/>
    </x:xf>
    <x:xf numFmtId="0" fontId="12" fillId="0" borderId="0" xfId="0" applyNumberFormat="1" applyFont="1" applyFill="1" applyBorder="1" applyAlignment="1">
      <x:alignment vertical="center"/>
    </x:xf>
    <x:xf numFmtId="0" fontId="13" fillId="0" borderId="0" xfId="0" applyNumberFormat="1" applyFont="1" applyFill="1" applyBorder="1" applyAlignment="1">
      <x:alignment vertical="center"/>
    </x:xf>
    <x:xf numFmtId="0" fontId="11" fillId="0" borderId="1" xfId="0" applyNumberFormat="1" applyFont="1" applyFill="1" applyBorder="1" applyAlignment="1">
      <x:alignment vertical="center"/>
    </x:xf>
    <x:xf numFmtId="0" fontId="14" fillId="2" borderId="2" xfId="0" applyNumberFormat="1" applyFont="1" applyFill="1" applyBorder="1" applyAlignment="1">
      <x:alignment horizontal="center" vertical="center"/>
    </x:xf>
    <x:xf numFmtId="0" fontId="14" fillId="2" borderId="3" xfId="0" applyNumberFormat="1" applyFont="1" applyFill="1" applyBorder="1" applyAlignment="1">
      <x:alignment horizontal="center" vertical="center"/>
    </x:xf>
    <x:xf numFmtId="0" fontId="14" fillId="2" borderId="4" xfId="0" applyNumberFormat="1" applyFont="1" applyFill="1" applyBorder="1" applyAlignment="1">
      <x:alignment horizontal="center" vertical="center"/>
    </x:xf>
    <x:xf numFmtId="0" fontId="15" fillId="0" borderId="5" xfId="0" applyNumberFormat="1" applyFont="1" applyFill="1" applyBorder="1" applyAlignment="1">
      <x:alignment horizontal="center" vertical="center"/>
    </x:xf>
    <x:xf numFmtId="0" fontId="15" fillId="0" borderId="6" xfId="0" applyNumberFormat="1" applyFont="1" applyFill="1" applyBorder="1" applyAlignment="1">
      <x:alignment horizontal="center" vertical="center"/>
    </x:xf>
    <x:xf numFmtId="200" fontId="15" fillId="0" borderId="6" xfId="0" applyNumberFormat="1" applyFont="1" applyFill="1" applyBorder="1" applyAlignment="1">
      <x:alignment horizontal="center" vertical="center"/>
    </x:xf>
    <x:xf numFmtId="0" fontId="15" fillId="0" borderId="7" xfId="0" applyNumberFormat="1" applyFont="1" applyFill="1" applyBorder="1" applyAlignment="1">
      <x:alignment horizontal="center" vertical="center"/>
    </x:xf>
    <x:xf numFmtId="0" fontId="16" fillId="3" borderId="0" xfId="0" applyNumberFormat="1" applyFont="1" applyFill="1" applyBorder="1" applyAlignment="1">
      <x:alignment vertical="center"/>
    </x:xf>
    <x:xf numFmtId="0" fontId="16" fillId="0" borderId="0" xfId="0" applyNumberFormat="1" applyFont="1" applyFill="1" applyBorder="1" applyAlignment="1">
      <x:alignment vertical="center"/>
    </x:xf>
    <x:xf numFmtId="0" fontId="16" fillId="4" borderId="8" xfId="0" applyNumberFormat="1" applyFont="1" applyFill="1" applyBorder="1" applyAlignment="1">
      <x:alignment horizontal="center" vertical="center" wrapText="1"/>
    </x:xf>
    <x:xf numFmtId="0" fontId="16" fillId="4" borderId="9" xfId="0" applyNumberFormat="1" applyFont="1" applyFill="1" applyBorder="1" applyAlignment="1">
      <x:alignment horizontal="center" vertical="center" wrapText="1"/>
    </x:xf>
    <x:xf numFmtId="0" fontId="16" fillId="4" borderId="10" xfId="0" applyNumberFormat="1" applyFont="1" applyFill="1" applyBorder="1" applyAlignment="1">
      <x:alignment horizontal="center" vertical="center" wrapText="1"/>
    </x:xf>
    <x:xf numFmtId="0" fontId="11" fillId="0" borderId="6" xfId="0" applyNumberFormat="1" applyFont="1" applyFill="1" applyBorder="1" applyAlignment="1">
      <x:alignment vertical="top"/>
    </x:xf>
    <x:xf numFmtId="200" fontId="11" fillId="0" borderId="6" xfId="0" applyNumberFormat="1" applyFont="1" applyFill="1" applyBorder="1" applyAlignment="1">
      <x:alignment vertical="top"/>
    </x:xf>
    <x:xf numFmtId="0" fontId="11" fillId="0" borderId="11" xfId="0" applyNumberFormat="1" applyFont="1" applyFill="1" applyBorder="1" applyAlignment="1">
      <x:alignment vertical="top"/>
    </x:xf>
    <x:xf numFmtId="200" fontId="11" fillId="0" borderId="11" xfId="0" applyNumberFormat="1" applyFont="1" applyFill="1" applyBorder="1" applyAlignment="1">
      <x:alignment vertical="top"/>
    </x:xf>
    <x:xf numFmtId="201" fontId="11" fillId="0" borderId="6" xfId="0" applyNumberFormat="1" applyFont="1" applyFill="1" applyBorder="1" applyAlignment="1">
      <x:alignment horizontal="center" vertical="top"/>
    </x:xf>
    <x:xf numFmtId="0" fontId="11" fillId="0" borderId="6" xfId="0" applyNumberFormat="1" applyFont="1" applyFill="1" applyBorder="1" applyAlignment="1">
      <x:alignment vertical="top" wrapText="1"/>
    </x:xf>
    <x:xf numFmtId="200" fontId="11" fillId="0" borderId="6" xfId="0" applyNumberFormat="1" applyFont="1" applyFill="1" applyBorder="1" applyAlignment="1">
      <x:alignment horizontal="right" vertical="top"/>
    </x:xf>
    <x:xf numFmtId="0" fontId="17" fillId="0" borderId="6" xfId="0" applyNumberFormat="1" applyFont="1" applyFill="1" applyBorder="1" applyAlignment="1">
      <x:alignment vertical="top"/>
    </x:xf>
    <x:xf numFmtId="201" fontId="11" fillId="0" borderId="11" xfId="0" applyNumberFormat="1" applyFont="1" applyFill="1" applyBorder="1" applyAlignment="1">
      <x:alignment horizontal="center" vertical="top"/>
    </x:xf>
    <x:xf numFmtId="0" fontId="11" fillId="0" borderId="11" xfId="0" applyNumberFormat="1" applyFont="1" applyFill="1" applyBorder="1" applyAlignment="1">
      <x:alignment vertical="top" wrapText="1"/>
    </x:xf>
    <x:xf numFmtId="200" fontId="11" fillId="0" borderId="11" xfId="0" applyNumberFormat="1" applyFont="1" applyFill="1" applyBorder="1" applyAlignment="1">
      <x:alignment horizontal="right" vertical="top"/>
    </x:xf>
    <x:xf numFmtId="0" fontId="17" fillId="0" borderId="11" xfId="0" applyNumberFormat="1" applyFont="1" applyFill="1" applyBorder="1" applyAlignment="1">
      <x:alignment vertical="top"/>
    </x:xf>
    <x:xf numFmtId="0" fontId="18" fillId="5" borderId="0" xfId="0" applyNumberFormat="1" applyFont="1" applyFill="1" applyBorder="1" applyAlignment="1">
      <x:alignment vertical="center" wrapText="1"/>
    </x:xf>
    <x:xf numFmtId="0" fontId="11" fillId="0" borderId="12" xfId="0" applyNumberFormat="1" applyFont="1" applyFill="1" applyBorder="1" applyAlignment="1">
      <x:alignment vertical="center"/>
    </x:xf>
    <x:xf numFmtId="0" fontId="12" fillId="0" borderId="12" xfId="0" applyNumberFormat="1" applyFont="1" applyFill="1" applyBorder="1" applyAlignment="1">
      <x:alignment vertical="center"/>
    </x:xf>
    <x:xf numFmtId="0" fontId="13" fillId="0" borderId="12" xfId="0" applyNumberFormat="1" applyFont="1" applyFill="1" applyBorder="1" applyAlignment="1">
      <x:alignment vertical="center"/>
    </x:xf>
    <x:xf numFmtId="0" fontId="11" fillId="0" borderId="13" xfId="0" applyNumberFormat="1" applyFont="1" applyFill="1" applyBorder="1" applyAlignment="1">
      <x:alignment vertical="center"/>
    </x:xf>
    <x:xf numFmtId="0" fontId="14" fillId="2" borderId="14" xfId="0" applyNumberFormat="1" applyFont="1" applyFill="1" applyBorder="1" applyAlignment="1">
      <x:alignment horizontal="center" vertical="center"/>
    </x:xf>
    <x:xf numFmtId="0" fontId="14" fillId="2" borderId="15" xfId="0" applyNumberFormat="1" applyFont="1" applyFill="1" applyBorder="1" applyAlignment="1">
      <x:alignment horizontal="center" vertical="center"/>
    </x:xf>
    <x:xf numFmtId="0" fontId="14" fillId="2" borderId="16" xfId="0" applyNumberFormat="1" applyFont="1" applyFill="1" applyBorder="1" applyAlignment="1">
      <x:alignment horizontal="center" vertical="center"/>
    </x:xf>
    <x:xf numFmtId="0" fontId="15" fillId="0" borderId="17" xfId="0" applyNumberFormat="1" applyFont="1" applyFill="1" applyBorder="1" applyAlignment="1">
      <x:alignment horizontal="center" vertical="center"/>
    </x:xf>
    <x:xf numFmtId="0" fontId="15" fillId="0" borderId="18" xfId="0" applyNumberFormat="1" applyFont="1" applyFill="1" applyBorder="1" applyAlignment="1">
      <x:alignment horizontal="center" vertical="center"/>
    </x:xf>
    <x:xf numFmtId="200" fontId="15" fillId="0" borderId="18" xfId="0" applyNumberFormat="1" applyFont="1" applyFill="1" applyBorder="1" applyAlignment="1">
      <x:alignment horizontal="center" vertical="center"/>
    </x:xf>
    <x:xf numFmtId="0" fontId="15" fillId="0" borderId="19" xfId="0" applyNumberFormat="1" applyFont="1" applyFill="1" applyBorder="1" applyAlignment="1">
      <x:alignment horizontal="center" vertical="center"/>
    </x:xf>
    <x:xf numFmtId="0" fontId="16" fillId="3" borderId="12" xfId="0" applyNumberFormat="1" applyFont="1" applyFill="1" applyBorder="1" applyAlignment="1">
      <x:alignment vertical="center"/>
    </x:xf>
    <x:xf numFmtId="0" fontId="16" fillId="0" borderId="12" xfId="0" applyNumberFormat="1" applyFont="1" applyFill="1" applyBorder="1" applyAlignment="1">
      <x:alignment vertical="center"/>
    </x:xf>
    <x:xf numFmtId="0" fontId="16" fillId="4" borderId="20" xfId="0" applyNumberFormat="1" applyFont="1" applyFill="1" applyBorder="1" applyAlignment="1">
      <x:alignment horizontal="center" vertical="center" wrapText="1"/>
    </x:xf>
    <x:xf numFmtId="0" fontId="16" fillId="4" borderId="21" xfId="0" applyNumberFormat="1" applyFont="1" applyFill="1" applyBorder="1" applyAlignment="1">
      <x:alignment horizontal="center" vertical="center" wrapText="1"/>
    </x:xf>
    <x:xf numFmtId="0" fontId="16" fillId="4" borderId="22" xfId="0" applyNumberFormat="1" applyFont="1" applyFill="1" applyBorder="1" applyAlignment="1">
      <x:alignment horizontal="center" vertical="center" wrapText="1"/>
    </x:xf>
    <x:xf numFmtId="0" fontId="11" fillId="0" borderId="18" xfId="0" applyNumberFormat="1" applyFont="1" applyFill="1" applyBorder="1" applyAlignment="1">
      <x:alignment vertical="top"/>
    </x:xf>
    <x:xf numFmtId="200" fontId="11" fillId="0" borderId="18" xfId="0" applyNumberFormat="1" applyFont="1" applyFill="1" applyBorder="1" applyAlignment="1">
      <x:alignment vertical="top"/>
    </x:xf>
    <x:xf numFmtId="0" fontId="11" fillId="0" borderId="23" xfId="0" applyNumberFormat="1" applyFont="1" applyFill="1" applyBorder="1" applyAlignment="1">
      <x:alignment vertical="top"/>
    </x:xf>
    <x:xf numFmtId="200" fontId="11" fillId="0" borderId="23" xfId="0" applyNumberFormat="1" applyFont="1" applyFill="1" applyBorder="1" applyAlignment="1">
      <x:alignment vertical="top"/>
    </x:xf>
    <x:xf numFmtId="201" fontId="11" fillId="0" borderId="18" xfId="0" applyNumberFormat="1" applyFont="1" applyFill="1" applyBorder="1" applyAlignment="1">
      <x:alignment horizontal="center" vertical="top"/>
    </x:xf>
    <x:xf numFmtId="0" fontId="11" fillId="0" borderId="18" xfId="0" applyNumberFormat="1" applyFont="1" applyFill="1" applyBorder="1" applyAlignment="1">
      <x:alignment vertical="top" wrapText="1"/>
    </x:xf>
    <x:xf numFmtId="200" fontId="11" fillId="0" borderId="18" xfId="0" applyNumberFormat="1" applyFont="1" applyFill="1" applyBorder="1" applyAlignment="1">
      <x:alignment horizontal="right" vertical="top"/>
    </x:xf>
    <x:xf numFmtId="0" fontId="17" fillId="0" borderId="18" xfId="0" applyNumberFormat="1" applyFont="1" applyFill="1" applyBorder="1" applyAlignment="1">
      <x:alignment vertical="top"/>
    </x:xf>
    <x:xf numFmtId="201" fontId="11" fillId="0" borderId="23" xfId="0" applyNumberFormat="1" applyFont="1" applyFill="1" applyBorder="1" applyAlignment="1">
      <x:alignment horizontal="center" vertical="top"/>
    </x:xf>
    <x:xf numFmtId="0" fontId="11" fillId="0" borderId="23" xfId="0" applyNumberFormat="1" applyFont="1" applyFill="1" applyBorder="1" applyAlignment="1">
      <x:alignment vertical="top" wrapText="1"/>
    </x:xf>
    <x:xf numFmtId="200" fontId="11" fillId="0" borderId="23" xfId="0" applyNumberFormat="1" applyFont="1" applyFill="1" applyBorder="1" applyAlignment="1">
      <x:alignment horizontal="right" vertical="top"/>
    </x:xf>
    <x:xf numFmtId="0" fontId="17" fillId="0" borderId="23" xfId="0" applyNumberFormat="1" applyFont="1" applyFill="1" applyBorder="1" applyAlignment="1">
      <x:alignment vertical="top"/>
    </x:xf>
    <x:xf numFmtId="0" fontId="18" fillId="5" borderId="12" xfId="0" applyNumberFormat="1" applyFont="1" applyFill="1" applyBorder="1" applyAlignment="1">
      <x:alignment vertical="center" wrapText="1"/>
    </x:xf>
    <x:xf numFmtId="0" fontId="14" fillId="0" borderId="0" xfId="0" applyNumberFormat="1" applyFont="1" applyFill="1" applyBorder="1" applyAlignment="1">
      <x:alignment vertical="center"/>
    </x:xf>
    <x:xf numFmtId="0" fontId="14" fillId="0" borderId="5" xfId="0" applyNumberFormat="1" applyFont="1" applyFill="1" applyBorder="1" applyAlignment="1">
      <x:alignment horizontal="center" vertical="center"/>
    </x:xf>
    <x:xf numFmtId="0" fontId="14" fillId="0" borderId="6" xfId="0" applyNumberFormat="1" applyFont="1" applyFill="1" applyBorder="1" applyAlignment="1">
      <x:alignment horizontal="center" vertical="center"/>
    </x:xf>
    <x:xf numFmtId="200" fontId="14" fillId="0" borderId="6" xfId="0" applyNumberFormat="1" applyFont="1" applyFill="1" applyBorder="1" applyAlignment="1">
      <x:alignment horizontal="center" vertical="center"/>
    </x:xf>
    <x:xf numFmtId="0" fontId="14" fillId="0" borderId="7" xfId="0" applyNumberFormat="1" applyFont="1" applyFill="1" applyBorder="1" applyAlignment="1">
      <x:alignment horizontal="center" vertical="center"/>
    </x:xf>
    <x:xf numFmtId="0" fontId="13" fillId="5" borderId="0" xfId="0" applyNumberFormat="1" applyFont="1" applyFill="1" applyBorder="1" applyAlignment="1">
      <x:alignment vertical="center" wrapText="1"/>
    </x:xf>
    <x:xf numFmtId="0" fontId="14" fillId="0" borderId="12" xfId="0" applyNumberFormat="1" applyFont="1" applyFill="1" applyBorder="1" applyAlignment="1">
      <x:alignment vertical="center"/>
    </x:xf>
    <x:xf numFmtId="0" fontId="14" fillId="0" borderId="17" xfId="0" applyNumberFormat="1" applyFont="1" applyFill="1" applyBorder="1" applyAlignment="1">
      <x:alignment horizontal="center" vertical="center"/>
    </x:xf>
    <x:xf numFmtId="0" fontId="14" fillId="0" borderId="18" xfId="0" applyNumberFormat="1" applyFont="1" applyFill="1" applyBorder="1" applyAlignment="1">
      <x:alignment horizontal="center" vertical="center"/>
    </x:xf>
    <x:xf numFmtId="200" fontId="14" fillId="0" borderId="18" xfId="0" applyNumberFormat="1" applyFont="1" applyFill="1" applyBorder="1" applyAlignment="1">
      <x:alignment horizontal="center" vertical="center"/>
    </x:xf>
    <x:xf numFmtId="0" fontId="14" fillId="0" borderId="19" xfId="0" applyNumberFormat="1" applyFont="1" applyFill="1" applyBorder="1" applyAlignment="1">
      <x:alignment horizontal="center" vertical="center"/>
    </x:xf>
    <x:xf numFmtId="0" fontId="13" fillId="5" borderId="12" xfId="0" applyNumberFormat="1" applyFont="1" applyFill="1" applyBorder="1" applyAlignment="1">
      <x:alignment vertical="center" wrapText="1"/>
    </x:xf>
    <x:xf numFmtId="0" fontId="19" fillId="0" borderId="0" xfId="0" applyNumberFormat="1" applyFont="1" applyFill="1" applyBorder="1" applyAlignment="1">
      <x:alignment vertical="center"/>
    </x:xf>
    <x:xf numFmtId="0" fontId="20" fillId="0" borderId="0" xfId="0" applyNumberFormat="1" applyFont="1" applyFill="1" applyBorder="1" applyAlignment="1">
      <x:alignment vertical="center"/>
    </x:xf>
    <x:xf numFmtId="0" fontId="21" fillId="0" borderId="0" xfId="0" applyNumberFormat="1" applyFont="1" applyFill="1" applyBorder="1" applyAlignment="1">
      <x:alignment vertical="center"/>
    </x:xf>
    <x:xf numFmtId="0" fontId="19" fillId="0" borderId="1" xfId="0" applyNumberFormat="1" applyFont="1" applyFill="1" applyBorder="1" applyAlignment="1">
      <x:alignment vertical="center"/>
    </x:xf>
    <x:xf numFmtId="0" fontId="20" fillId="2" borderId="2" xfId="0" applyNumberFormat="1" applyFont="1" applyFill="1" applyBorder="1" applyAlignment="1">
      <x:alignment horizontal="center" vertical="center"/>
    </x:xf>
    <x:xf numFmtId="0" fontId="20" fillId="2" borderId="3" xfId="0" applyNumberFormat="1" applyFont="1" applyFill="1" applyBorder="1" applyAlignment="1">
      <x:alignment horizontal="center" vertical="center"/>
    </x:xf>
    <x:xf numFmtId="0" fontId="20" fillId="2" borderId="4" xfId="0" applyNumberFormat="1" applyFont="1" applyFill="1" applyBorder="1" applyAlignment="1">
      <x:alignment horizontal="center" vertical="center"/>
    </x:xf>
    <x:xf numFmtId="0" fontId="20" fillId="0" borderId="5" xfId="0" applyNumberFormat="1" applyFont="1" applyFill="1" applyBorder="1" applyAlignment="1">
      <x:alignment horizontal="center" vertical="center"/>
    </x:xf>
    <x:xf numFmtId="0" fontId="20" fillId="0" borderId="6" xfId="0" applyNumberFormat="1" applyFont="1" applyFill="1" applyBorder="1" applyAlignment="1">
      <x:alignment horizontal="center" vertical="center"/>
    </x:xf>
    <x:xf numFmtId="200" fontId="20" fillId="0" borderId="6" xfId="0" applyNumberFormat="1" applyFont="1" applyFill="1" applyBorder="1" applyAlignment="1">
      <x:alignment horizontal="center" vertical="center"/>
    </x:xf>
    <x:xf numFmtId="0" fontId="20" fillId="0" borderId="7" xfId="0" applyNumberFormat="1" applyFont="1" applyFill="1" applyBorder="1" applyAlignment="1">
      <x:alignment horizontal="center" vertical="center"/>
    </x:xf>
    <x:xf numFmtId="0" fontId="20" fillId="3" borderId="0" xfId="0" applyNumberFormat="1" applyFont="1" applyFill="1" applyBorder="1" applyAlignment="1">
      <x:alignment vertical="center"/>
    </x:xf>
    <x:xf numFmtId="0" fontId="20" fillId="4" borderId="8" xfId="0" applyNumberFormat="1" applyFont="1" applyFill="1" applyBorder="1" applyAlignment="1">
      <x:alignment horizontal="center" vertical="center" wrapText="1"/>
    </x:xf>
    <x:xf numFmtId="0" fontId="20" fillId="4" borderId="9" xfId="0" applyNumberFormat="1" applyFont="1" applyFill="1" applyBorder="1" applyAlignment="1">
      <x:alignment horizontal="center" vertical="center" wrapText="1"/>
    </x:xf>
    <x:xf numFmtId="0" fontId="20" fillId="4" borderId="10" xfId="0" applyNumberFormat="1" applyFont="1" applyFill="1" applyBorder="1" applyAlignment="1">
      <x:alignment horizontal="center" vertical="center" wrapText="1"/>
    </x:xf>
    <x:xf numFmtId="0" fontId="19" fillId="0" borderId="6" xfId="0" applyNumberFormat="1" applyFont="1" applyFill="1" applyBorder="1" applyAlignment="1">
      <x:alignment vertical="top"/>
    </x:xf>
    <x:xf numFmtId="200" fontId="19" fillId="0" borderId="6" xfId="0" applyNumberFormat="1" applyFont="1" applyFill="1" applyBorder="1" applyAlignment="1">
      <x:alignment vertical="top"/>
    </x:xf>
    <x:xf numFmtId="0" fontId="19" fillId="0" borderId="11" xfId="0" applyNumberFormat="1" applyFont="1" applyFill="1" applyBorder="1" applyAlignment="1">
      <x:alignment vertical="top"/>
    </x:xf>
    <x:xf numFmtId="200" fontId="19" fillId="0" borderId="11" xfId="0" applyNumberFormat="1" applyFont="1" applyFill="1" applyBorder="1" applyAlignment="1">
      <x:alignment vertical="top"/>
    </x:xf>
    <x:xf numFmtId="201" fontId="19" fillId="0" borderId="6" xfId="0" applyNumberFormat="1" applyFont="1" applyFill="1" applyBorder="1" applyAlignment="1">
      <x:alignment horizontal="center" vertical="top"/>
    </x:xf>
    <x:xf numFmtId="0" fontId="19" fillId="0" borderId="6" xfId="0" applyNumberFormat="1" applyFont="1" applyFill="1" applyBorder="1" applyAlignment="1">
      <x:alignment vertical="top" wrapText="1"/>
    </x:xf>
    <x:xf numFmtId="200" fontId="19" fillId="0" borderId="6" xfId="0" applyNumberFormat="1" applyFont="1" applyFill="1" applyBorder="1" applyAlignment="1">
      <x:alignment horizontal="right" vertical="top"/>
    </x:xf>
    <x:xf numFmtId="0" fontId="20" fillId="0" borderId="6" xfId="0" applyNumberFormat="1" applyFont="1" applyFill="1" applyBorder="1" applyAlignment="1">
      <x:alignment vertical="top"/>
    </x:xf>
    <x:xf numFmtId="201" fontId="19" fillId="0" borderId="11" xfId="0" applyNumberFormat="1" applyFont="1" applyFill="1" applyBorder="1" applyAlignment="1">
      <x:alignment horizontal="center" vertical="top"/>
    </x:xf>
    <x:xf numFmtId="0" fontId="19" fillId="0" borderId="11" xfId="0" applyNumberFormat="1" applyFont="1" applyFill="1" applyBorder="1" applyAlignment="1">
      <x:alignment vertical="top" wrapText="1"/>
    </x:xf>
    <x:xf numFmtId="200" fontId="19" fillId="0" borderId="11" xfId="0" applyNumberFormat="1" applyFont="1" applyFill="1" applyBorder="1" applyAlignment="1">
      <x:alignment horizontal="right" vertical="top"/>
    </x:xf>
    <x:xf numFmtId="0" fontId="20" fillId="0" borderId="11" xfId="0" applyNumberFormat="1" applyFont="1" applyFill="1" applyBorder="1" applyAlignment="1">
      <x:alignment vertical="top"/>
    </x:xf>
    <x:xf numFmtId="0" fontId="21" fillId="5" borderId="0" xfId="0" applyNumberFormat="1" applyFont="1" applyFill="1" applyBorder="1" applyAlignment="1">
      <x:alignment vertical="center" wrapText="1"/>
    </x:xf>
    <x:xf numFmtId="0" fontId="19" fillId="0" borderId="12" xfId="0" applyNumberFormat="1" applyFont="1" applyFill="1" applyBorder="1" applyAlignment="1">
      <x:alignment vertical="center"/>
    </x:xf>
    <x:xf numFmtId="0" fontId="20" fillId="0" borderId="12" xfId="0" applyNumberFormat="1" applyFont="1" applyFill="1" applyBorder="1" applyAlignment="1">
      <x:alignment vertical="center"/>
    </x:xf>
    <x:xf numFmtId="0" fontId="21" fillId="0" borderId="12" xfId="0" applyNumberFormat="1" applyFont="1" applyFill="1" applyBorder="1" applyAlignment="1">
      <x:alignment vertical="center"/>
    </x:xf>
    <x:xf numFmtId="0" fontId="19" fillId="0" borderId="13" xfId="0" applyNumberFormat="1" applyFont="1" applyFill="1" applyBorder="1" applyAlignment="1">
      <x:alignment vertical="center"/>
    </x:xf>
    <x:xf numFmtId="0" fontId="20" fillId="2" borderId="14" xfId="0" applyNumberFormat="1" applyFont="1" applyFill="1" applyBorder="1" applyAlignment="1">
      <x:alignment horizontal="center" vertical="center"/>
    </x:xf>
    <x:xf numFmtId="0" fontId="20" fillId="2" borderId="15" xfId="0" applyNumberFormat="1" applyFont="1" applyFill="1" applyBorder="1" applyAlignment="1">
      <x:alignment horizontal="center" vertical="center"/>
    </x:xf>
    <x:xf numFmtId="0" fontId="20" fillId="2" borderId="16" xfId="0" applyNumberFormat="1" applyFont="1" applyFill="1" applyBorder="1" applyAlignment="1">
      <x:alignment horizontal="center" vertical="center"/>
    </x:xf>
    <x:xf numFmtId="0" fontId="20" fillId="0" borderId="17" xfId="0" applyNumberFormat="1" applyFont="1" applyFill="1" applyBorder="1" applyAlignment="1">
      <x:alignment horizontal="center" vertical="center"/>
    </x:xf>
    <x:xf numFmtId="0" fontId="20" fillId="0" borderId="18" xfId="0" applyNumberFormat="1" applyFont="1" applyFill="1" applyBorder="1" applyAlignment="1">
      <x:alignment horizontal="center" vertical="center"/>
    </x:xf>
    <x:xf numFmtId="200" fontId="20" fillId="0" borderId="18" xfId="0" applyNumberFormat="1" applyFont="1" applyFill="1" applyBorder="1" applyAlignment="1">
      <x:alignment horizontal="center" vertical="center"/>
    </x:xf>
    <x:xf numFmtId="0" fontId="20" fillId="0" borderId="19" xfId="0" applyNumberFormat="1" applyFont="1" applyFill="1" applyBorder="1" applyAlignment="1">
      <x:alignment horizontal="center" vertical="center"/>
    </x:xf>
    <x:xf numFmtId="0" fontId="20" fillId="3" borderId="12" xfId="0" applyNumberFormat="1" applyFont="1" applyFill="1" applyBorder="1" applyAlignment="1">
      <x:alignment vertical="center"/>
    </x:xf>
    <x:xf numFmtId="0" fontId="20" fillId="4" borderId="20" xfId="0" applyNumberFormat="1" applyFont="1" applyFill="1" applyBorder="1" applyAlignment="1">
      <x:alignment horizontal="center" vertical="center" wrapText="1"/>
    </x:xf>
    <x:xf numFmtId="0" fontId="20" fillId="4" borderId="21" xfId="0" applyNumberFormat="1" applyFont="1" applyFill="1" applyBorder="1" applyAlignment="1">
      <x:alignment horizontal="center" vertical="center" wrapText="1"/>
    </x:xf>
    <x:xf numFmtId="0" fontId="20" fillId="4" borderId="22" xfId="0" applyNumberFormat="1" applyFont="1" applyFill="1" applyBorder="1" applyAlignment="1">
      <x:alignment horizontal="center" vertical="center" wrapText="1"/>
    </x:xf>
    <x:xf numFmtId="0" fontId="19" fillId="0" borderId="18" xfId="0" applyNumberFormat="1" applyFont="1" applyFill="1" applyBorder="1" applyAlignment="1">
      <x:alignment vertical="top"/>
    </x:xf>
    <x:xf numFmtId="200" fontId="19" fillId="0" borderId="18" xfId="0" applyNumberFormat="1" applyFont="1" applyFill="1" applyBorder="1" applyAlignment="1">
      <x:alignment vertical="top"/>
    </x:xf>
    <x:xf numFmtId="0" fontId="19" fillId="0" borderId="23" xfId="0" applyNumberFormat="1" applyFont="1" applyFill="1" applyBorder="1" applyAlignment="1">
      <x:alignment vertical="top"/>
    </x:xf>
    <x:xf numFmtId="200" fontId="19" fillId="0" borderId="23" xfId="0" applyNumberFormat="1" applyFont="1" applyFill="1" applyBorder="1" applyAlignment="1">
      <x:alignment vertical="top"/>
    </x:xf>
    <x:xf numFmtId="201" fontId="19" fillId="0" borderId="18" xfId="0" applyNumberFormat="1" applyFont="1" applyFill="1" applyBorder="1" applyAlignment="1">
      <x:alignment horizontal="center" vertical="top"/>
    </x:xf>
    <x:xf numFmtId="0" fontId="19" fillId="0" borderId="18" xfId="0" applyNumberFormat="1" applyFont="1" applyFill="1" applyBorder="1" applyAlignment="1">
      <x:alignment vertical="top" wrapText="1"/>
    </x:xf>
    <x:xf numFmtId="200" fontId="19" fillId="0" borderId="18" xfId="0" applyNumberFormat="1" applyFont="1" applyFill="1" applyBorder="1" applyAlignment="1">
      <x:alignment horizontal="right" vertical="top"/>
    </x:xf>
    <x:xf numFmtId="0" fontId="20" fillId="0" borderId="18" xfId="0" applyNumberFormat="1" applyFont="1" applyFill="1" applyBorder="1" applyAlignment="1">
      <x:alignment vertical="top"/>
    </x:xf>
    <x:xf numFmtId="201" fontId="19" fillId="0" borderId="23" xfId="0" applyNumberFormat="1" applyFont="1" applyFill="1" applyBorder="1" applyAlignment="1">
      <x:alignment horizontal="center" vertical="top"/>
    </x:xf>
    <x:xf numFmtId="0" fontId="19" fillId="0" borderId="23" xfId="0" applyNumberFormat="1" applyFont="1" applyFill="1" applyBorder="1" applyAlignment="1">
      <x:alignment vertical="top" wrapText="1"/>
    </x:xf>
    <x:xf numFmtId="200" fontId="19" fillId="0" borderId="23" xfId="0" applyNumberFormat="1" applyFont="1" applyFill="1" applyBorder="1" applyAlignment="1">
      <x:alignment horizontal="right" vertical="top"/>
    </x:xf>
    <x:xf numFmtId="0" fontId="20" fillId="0" borderId="23" xfId="0" applyNumberFormat="1" applyFont="1" applyFill="1" applyBorder="1" applyAlignment="1">
      <x:alignment vertical="top"/>
    </x:xf>
    <x:xf numFmtId="0" fontId="21" fillId="5" borderId="12" xfId="0" applyNumberFormat="1" applyFont="1" applyFill="1" applyBorder="1" applyAlignment="1">
      <x:alignment vertical="center" wrapText="1"/>
    </x:xf>
    <x:xf numFmtId="0" fontId="19" fillId="0" borderId="6" xfId="0" applyNumberFormat="1" applyFont="1" applyFill="1" applyBorder="1" applyAlignment="1">
      <x:alignment vertical="center"/>
    </x:xf>
    <x:xf numFmtId="200" fontId="19" fillId="0" borderId="6" xfId="0" applyNumberFormat="1" applyFont="1" applyFill="1" applyBorder="1" applyAlignment="1">
      <x:alignment vertical="center"/>
    </x:xf>
    <x:xf numFmtId="0" fontId="19" fillId="0" borderId="11" xfId="0" applyNumberFormat="1" applyFont="1" applyFill="1" applyBorder="1" applyAlignment="1">
      <x:alignment vertical="center"/>
    </x:xf>
    <x:xf numFmtId="200" fontId="19" fillId="0" borderId="11" xfId="0" applyNumberFormat="1" applyFont="1" applyFill="1" applyBorder="1" applyAlignment="1">
      <x:alignment vertical="center"/>
    </x:xf>
    <x:xf numFmtId="201" fontId="19" fillId="0" borderId="6" xfId="0" applyNumberFormat="1" applyFont="1" applyFill="1" applyBorder="1" applyAlignment="1">
      <x:alignment horizontal="center" vertical="center"/>
    </x:xf>
    <x:xf numFmtId="0" fontId="19" fillId="0" borderId="6" xfId="0" applyNumberFormat="1" applyFont="1" applyFill="1" applyBorder="1" applyAlignment="1">
      <x:alignment vertical="center" wrapText="1"/>
    </x:xf>
    <x:xf numFmtId="200" fontId="19" fillId="0" borderId="6" xfId="0" applyNumberFormat="1" applyFont="1" applyFill="1" applyBorder="1" applyAlignment="1">
      <x:alignment horizontal="right" vertical="center"/>
    </x:xf>
    <x:xf numFmtId="0" fontId="20" fillId="0" borderId="6" xfId="0" applyNumberFormat="1" applyFont="1" applyFill="1" applyBorder="1" applyAlignment="1">
      <x:alignment vertical="center"/>
    </x:xf>
    <x:xf numFmtId="201" fontId="19" fillId="0" borderId="11" xfId="0" applyNumberFormat="1" applyFont="1" applyFill="1" applyBorder="1" applyAlignment="1">
      <x:alignment horizontal="center" vertical="center"/>
    </x:xf>
    <x:xf numFmtId="0" fontId="19" fillId="0" borderId="11" xfId="0" applyNumberFormat="1" applyFont="1" applyFill="1" applyBorder="1" applyAlignment="1">
      <x:alignment vertical="center" wrapText="1"/>
    </x:xf>
    <x:xf numFmtId="200" fontId="19" fillId="0" borderId="11" xfId="0" applyNumberFormat="1" applyFont="1" applyFill="1" applyBorder="1" applyAlignment="1">
      <x:alignment horizontal="right" vertical="center"/>
    </x:xf>
    <x:xf numFmtId="0" fontId="20" fillId="0" borderId="11" xfId="0" applyNumberFormat="1" applyFont="1" applyFill="1" applyBorder="1" applyAlignment="1">
      <x:alignment vertical="center"/>
    </x:xf>
    <x:xf numFmtId="0" fontId="19" fillId="0" borderId="18" xfId="0" applyNumberFormat="1" applyFont="1" applyFill="1" applyBorder="1" applyAlignment="1">
      <x:alignment vertical="center"/>
    </x:xf>
    <x:xf numFmtId="200" fontId="19" fillId="0" borderId="18" xfId="0" applyNumberFormat="1" applyFont="1" applyFill="1" applyBorder="1" applyAlignment="1">
      <x:alignment vertical="center"/>
    </x:xf>
    <x:xf numFmtId="0" fontId="19" fillId="0" borderId="23" xfId="0" applyNumberFormat="1" applyFont="1" applyFill="1" applyBorder="1" applyAlignment="1">
      <x:alignment vertical="center"/>
    </x:xf>
    <x:xf numFmtId="200" fontId="19" fillId="0" borderId="23" xfId="0" applyNumberFormat="1" applyFont="1" applyFill="1" applyBorder="1" applyAlignment="1">
      <x:alignment vertical="center"/>
    </x:xf>
    <x:xf numFmtId="201" fontId="19" fillId="0" borderId="18" xfId="0" applyNumberFormat="1" applyFont="1" applyFill="1" applyBorder="1" applyAlignment="1">
      <x:alignment horizontal="center" vertical="center"/>
    </x:xf>
    <x:xf numFmtId="0" fontId="19" fillId="0" borderId="18" xfId="0" applyNumberFormat="1" applyFont="1" applyFill="1" applyBorder="1" applyAlignment="1">
      <x:alignment vertical="center" wrapText="1"/>
    </x:xf>
    <x:xf numFmtId="200" fontId="19" fillId="0" borderId="18" xfId="0" applyNumberFormat="1" applyFont="1" applyFill="1" applyBorder="1" applyAlignment="1">
      <x:alignment horizontal="right" vertical="center"/>
    </x:xf>
    <x:xf numFmtId="0" fontId="20" fillId="0" borderId="18" xfId="0" applyNumberFormat="1" applyFont="1" applyFill="1" applyBorder="1" applyAlignment="1">
      <x:alignment vertical="center"/>
    </x:xf>
    <x:xf numFmtId="201" fontId="19" fillId="0" borderId="23" xfId="0" applyNumberFormat="1" applyFont="1" applyFill="1" applyBorder="1" applyAlignment="1">
      <x:alignment horizontal="center" vertical="center"/>
    </x:xf>
    <x:xf numFmtId="0" fontId="19" fillId="0" borderId="23" xfId="0" applyNumberFormat="1" applyFont="1" applyFill="1" applyBorder="1" applyAlignment="1">
      <x:alignment vertical="center" wrapText="1"/>
    </x:xf>
    <x:xf numFmtId="200" fontId="19" fillId="0" borderId="23" xfId="0" applyNumberFormat="1" applyFont="1" applyFill="1" applyBorder="1" applyAlignment="1">
      <x:alignment horizontal="right" vertical="center"/>
    </x:xf>
    <x:xf numFmtId="0" fontId="20" fillId="0" borderId="23" xfId="0" applyNumberFormat="1" applyFont="1" applyFill="1" applyBorder="1" applyAlignment="1">
      <x:alignment vertical="center"/>
    </x:xf>
    <x:xf numFmtId="0" fontId="22" fillId="0" borderId="0" xfId="0" applyNumberFormat="1" applyFont="1" applyFill="1" applyBorder="1" applyAlignment="1">
      <x:alignment vertical="center"/>
    </x:xf>
    <x:xf numFmtId="0" fontId="22" fillId="0" borderId="12" xfId="0" applyNumberFormat="1" applyFont="1" applyFill="1" applyBorder="1" applyAlignment="1">
      <x:alignment vertical="center"/>
    </x:xf>
    <x:xf numFmtId="0" fontId="23" fillId="0" borderId="0" xfId="0" applyNumberFormat="1" applyFont="1" applyFill="1" applyBorder="1" applyAlignment="1">
      <x:alignment vertical="center"/>
    </x:xf>
    <x:xf numFmtId="0" fontId="23" fillId="0" borderId="12" xfId="0" applyNumberFormat="1" applyFont="1" applyFill="1" applyBorder="1" applyAlignment="1">
      <x:alignment vertical="center"/>
    </x:xf>
    <x:xf numFmtId="0" fontId="24" fillId="0" borderId="0" xfId="0" applyNumberFormat="1" applyFont="1" applyFill="1" applyBorder="1" applyAlignment="1">
      <x:alignment vertical="center"/>
    </x:xf>
    <x:xf numFmtId="0" fontId="25" fillId="0" borderId="0" xfId="0" applyNumberFormat="1" applyFont="1" applyFill="1" applyBorder="1" applyAlignment="1">
      <x:alignment vertical="center"/>
    </x:xf>
    <x:xf numFmtId="0" fontId="24" fillId="0" borderId="12" xfId="0" applyNumberFormat="1" applyFont="1" applyFill="1" applyBorder="1" applyAlignment="1">
      <x:alignment vertical="center"/>
    </x:xf>
    <x:xf numFmtId="0" fontId="25" fillId="0" borderId="12" xfId="0" applyNumberFormat="1" applyFont="1" applyFill="1" applyBorder="1" applyAlignment="1">
      <x:alignment vertical="center"/>
    </x:xf>
    <x:xf numFmtId="0" fontId="20" fillId="6" borderId="2" xfId="0" applyNumberFormat="1" applyFont="1" applyFill="1" applyBorder="1" applyAlignment="1">
      <x:alignment horizontal="center" vertical="center"/>
    </x:xf>
    <x:xf numFmtId="0" fontId="20" fillId="6" borderId="3" xfId="0" applyNumberFormat="1" applyFont="1" applyFill="1" applyBorder="1" applyAlignment="1">
      <x:alignment horizontal="center" vertical="center"/>
    </x:xf>
    <x:xf numFmtId="0" fontId="20" fillId="6" borderId="14" xfId="0" applyNumberFormat="1" applyFont="1" applyFill="1" applyBorder="1" applyAlignment="1">
      <x:alignment horizontal="center" vertical="center"/>
    </x:xf>
    <x:xf numFmtId="0" fontId="20" fillId="6" borderId="15" xfId="0" applyNumberFormat="1" applyFont="1" applyFill="1" applyBorder="1" applyAlignment="1">
      <x:alignment horizontal="center" vertical="center"/>
    </x:xf>
    <x:xf numFmtId="0" fontId="26" fillId="6" borderId="2" xfId="0" applyNumberFormat="1" applyFont="1" applyFill="1" applyBorder="1" applyAlignment="1">
      <x:alignment horizontal="center" vertical="center"/>
    </x:xf>
    <x:xf numFmtId="0" fontId="26" fillId="6" borderId="3" xfId="0" applyNumberFormat="1" applyFont="1" applyFill="1" applyBorder="1" applyAlignment="1">
      <x:alignment horizontal="center" vertical="center"/>
    </x:xf>
    <x:xf numFmtId="0" fontId="26" fillId="6" borderId="14" xfId="0" applyNumberFormat="1" applyFont="1" applyFill="1" applyBorder="1" applyAlignment="1">
      <x:alignment horizontal="center" vertical="center"/>
    </x:xf>
    <x:xf numFmtId="0" fontId="26" fillId="6" borderId="15" xfId="0" applyNumberFormat="1" applyFont="1" applyFill="1" applyBorder="1" applyAlignment="1">
      <x:alignment horizontal="center" vertical="center"/>
    </x:xf>
    <x:xf numFmtId="0" fontId="20" fillId="6" borderId="4" xfId="0" applyNumberFormat="1" applyFont="1" applyFill="1" applyBorder="1" applyAlignment="1">
      <x:alignment horizontal="center" vertical="center"/>
    </x:xf>
    <x:xf numFmtId="0" fontId="20" fillId="6" borderId="16" xfId="0" applyNumberFormat="1" applyFont="1" applyFill="1" applyBorder="1" applyAlignment="1">
      <x:alignment horizontal="center" vertical="center"/>
    </x:xf>
    <x:xf numFmtId="0" fontId="26" fillId="6" borderId="4" xfId="0" applyNumberFormat="1" applyFont="1" applyFill="1" applyBorder="1" applyAlignment="1">
      <x:alignment horizontal="center" vertical="center"/>
    </x:xf>
    <x:xf numFmtId="0" fontId="26" fillId="6" borderId="16" xfId="0" applyNumberFormat="1" applyFont="1" applyFill="1" applyBorder="1" applyAlignment="1">
      <x:alignment horizontal="center" vertical="center"/>
    </x:xf>
    <x:xf numFmtId="0" fontId="27" fillId="0" borderId="5" xfId="0" applyNumberFormat="1" applyFont="1" applyFill="1" applyBorder="1" applyAlignment="1">
      <x:alignment horizontal="center" vertical="center"/>
    </x:xf>
    <x:xf numFmtId="0" fontId="27" fillId="0" borderId="17" xfId="0" applyNumberFormat="1" applyFont="1" applyFill="1" applyBorder="1" applyAlignment="1">
      <x:alignment horizontal="center" vertical="center"/>
    </x:xf>
    <x:xf numFmtId="0" fontId="28" fillId="0" borderId="5" xfId="0" applyNumberFormat="1" applyFont="1" applyFill="1" applyBorder="1" applyAlignment="1">
      <x:alignment horizontal="center" vertical="center"/>
    </x:xf>
    <x:xf numFmtId="0" fontId="28" fillId="0" borderId="17" xfId="0" applyNumberFormat="1" applyFont="1" applyFill="1" applyBorder="1" applyAlignment="1">
      <x:alignment horizontal="center" vertical="center"/>
    </x:xf>
    <x:xf numFmtId="200" fontId="27" fillId="0" borderId="6" xfId="0" applyNumberFormat="1" applyFont="1" applyFill="1" applyBorder="1" applyAlignment="1">
      <x:alignment horizontal="center" vertical="center"/>
    </x:xf>
    <x:xf numFmtId="200" fontId="27" fillId="0" borderId="18" xfId="0" applyNumberFormat="1" applyFont="1" applyFill="1" applyBorder="1" applyAlignment="1">
      <x:alignment horizontal="center" vertical="center"/>
    </x:xf>
    <x:xf numFmtId="200" fontId="28" fillId="0" borderId="6" xfId="0" applyNumberFormat="1" applyFont="1" applyFill="1" applyBorder="1" applyAlignment="1">
      <x:alignment horizontal="center" vertical="center"/>
    </x:xf>
    <x:xf numFmtId="200" fontId="28" fillId="0" borderId="18" xfId="0" applyNumberFormat="1" applyFont="1" applyFill="1" applyBorder="1" applyAlignment="1">
      <x:alignment horizontal="center" vertical="center"/>
    </x:xf>
    <x:xf numFmtId="0" fontId="27" fillId="0" borderId="6" xfId="0" applyNumberFormat="1" applyFont="1" applyFill="1" applyBorder="1" applyAlignment="1">
      <x:alignment horizontal="center" vertical="center"/>
    </x:xf>
    <x:xf numFmtId="0" fontId="27" fillId="0" borderId="18" xfId="0" applyNumberFormat="1" applyFont="1" applyFill="1" applyBorder="1" applyAlignment="1">
      <x:alignment horizontal="center" vertical="center"/>
    </x:xf>
    <x:xf numFmtId="0" fontId="28" fillId="0" borderId="6" xfId="0" applyNumberFormat="1" applyFont="1" applyFill="1" applyBorder="1" applyAlignment="1">
      <x:alignment horizontal="center" vertical="center"/>
    </x:xf>
    <x:xf numFmtId="0" fontId="28" fillId="0" borderId="18" xfId="0" applyNumberFormat="1" applyFont="1" applyFill="1" applyBorder="1" applyAlignment="1">
      <x:alignment horizontal="center" vertical="center"/>
    </x:xf>
    <x:xf numFmtId="0" fontId="20" fillId="7" borderId="0" xfId="0" applyNumberFormat="1" applyFont="1" applyFill="1" applyBorder="1" applyAlignment="1">
      <x:alignment vertical="center"/>
    </x:xf>
    <x:xf numFmtId="0" fontId="20" fillId="7" borderId="12" xfId="0" applyNumberFormat="1" applyFont="1" applyFill="1" applyBorder="1" applyAlignment="1">
      <x:alignment vertical="center"/>
    </x:xf>
    <x:xf numFmtId="0" fontId="16" fillId="7" borderId="0" xfId="0" applyNumberFormat="1" applyFont="1" applyFill="1" applyBorder="1" applyAlignment="1">
      <x:alignment vertical="center"/>
    </x:xf>
    <x:xf numFmtId="0" fontId="16" fillId="7" borderId="12" xfId="0" applyNumberFormat="1" applyFont="1" applyFill="1" applyBorder="1" applyAlignment="1">
      <x:alignment vertical="center"/>
    </x:xf>
    <x:xf numFmtId="0" fontId="20" fillId="6" borderId="8" xfId="0" applyNumberFormat="1" applyFont="1" applyFill="1" applyBorder="1" applyAlignment="1">
      <x:alignment horizontal="center" vertical="center" wrapText="1"/>
    </x:xf>
    <x:xf numFmtId="0" fontId="20" fillId="6" borderId="9" xfId="0" applyNumberFormat="1" applyFont="1" applyFill="1" applyBorder="1" applyAlignment="1">
      <x:alignment horizontal="center" vertical="center" wrapText="1"/>
    </x:xf>
    <x:xf numFmtId="0" fontId="20" fillId="6" borderId="10" xfId="0" applyNumberFormat="1" applyFont="1" applyFill="1" applyBorder="1" applyAlignment="1">
      <x:alignment horizontal="center" vertical="center" wrapText="1"/>
    </x:xf>
    <x:xf numFmtId="0" fontId="20" fillId="6" borderId="20" xfId="0" applyNumberFormat="1" applyFont="1" applyFill="1" applyBorder="1" applyAlignment="1">
      <x:alignment horizontal="center" vertical="center" wrapText="1"/>
    </x:xf>
    <x:xf numFmtId="0" fontId="20" fillId="6" borderId="21" xfId="0" applyNumberFormat="1" applyFont="1" applyFill="1" applyBorder="1" applyAlignment="1">
      <x:alignment horizontal="center" vertical="center" wrapText="1"/>
    </x:xf>
    <x:xf numFmtId="0" fontId="20" fillId="6" borderId="22" xfId="0" applyNumberFormat="1" applyFont="1" applyFill="1" applyBorder="1" applyAlignment="1">
      <x:alignment horizontal="center" vertical="center" wrapText="1"/>
    </x:xf>
    <x:xf numFmtId="0" fontId="26" fillId="6" borderId="8" xfId="0" applyNumberFormat="1" applyFont="1" applyFill="1" applyBorder="1" applyAlignment="1">
      <x:alignment horizontal="center" vertical="center" wrapText="1"/>
    </x:xf>
    <x:xf numFmtId="0" fontId="26" fillId="6" borderId="9" xfId="0" applyNumberFormat="1" applyFont="1" applyFill="1" applyBorder="1" applyAlignment="1">
      <x:alignment horizontal="center" vertical="center" wrapText="1"/>
    </x:xf>
    <x:xf numFmtId="0" fontId="26" fillId="6" borderId="10" xfId="0" applyNumberFormat="1" applyFont="1" applyFill="1" applyBorder="1" applyAlignment="1">
      <x:alignment horizontal="center" vertical="center" wrapText="1"/>
    </x:xf>
    <x:xf numFmtId="0" fontId="26" fillId="6" borderId="20" xfId="0" applyNumberFormat="1" applyFont="1" applyFill="1" applyBorder="1" applyAlignment="1">
      <x:alignment horizontal="center" vertical="center" wrapText="1"/>
    </x:xf>
    <x:xf numFmtId="0" fontId="26" fillId="6" borderId="21" xfId="0" applyNumberFormat="1" applyFont="1" applyFill="1" applyBorder="1" applyAlignment="1">
      <x:alignment horizontal="center" vertical="center" wrapText="1"/>
    </x:xf>
    <x:xf numFmtId="0" fontId="26" fillId="6" borderId="22" xfId="0" applyNumberFormat="1" applyFont="1" applyFill="1" applyBorder="1" applyAlignment="1">
      <x:alignment horizontal="center" vertical="center" wrapText="1"/>
    </x:xf>
    <x:xf numFmtId="0" fontId="19" fillId="8" borderId="6" xfId="0" applyNumberFormat="1" applyFont="1" applyFill="1" applyBorder="1" applyAlignment="1">
      <x:alignment vertical="center"/>
    </x:xf>
    <x:xf numFmtId="0" fontId="19" fillId="8" borderId="18" xfId="0" applyNumberFormat="1" applyFont="1" applyFill="1" applyBorder="1" applyAlignment="1">
      <x:alignment vertical="center"/>
    </x:xf>
    <x:xf numFmtId="0" fontId="19" fillId="8" borderId="11" xfId="0" applyNumberFormat="1" applyFont="1" applyFill="1" applyBorder="1" applyAlignment="1">
      <x:alignment vertical="center"/>
    </x:xf>
    <x:xf numFmtId="0" fontId="19" fillId="8" borderId="23" xfId="0" applyNumberFormat="1" applyFont="1" applyFill="1" applyBorder="1" applyAlignment="1">
      <x:alignment vertical="center"/>
    </x:xf>
    <x:xf numFmtId="200" fontId="19" fillId="8" borderId="6" xfId="0" applyNumberFormat="1" applyFont="1" applyFill="1" applyBorder="1" applyAlignment="1">
      <x:alignment vertical="center"/>
    </x:xf>
    <x:xf numFmtId="200" fontId="19" fillId="8" borderId="18" xfId="0" applyNumberFormat="1" applyFont="1" applyFill="1" applyBorder="1" applyAlignment="1">
      <x:alignment vertical="center"/>
    </x:xf>
    <x:xf numFmtId="200" fontId="19" fillId="8" borderId="11" xfId="0" applyNumberFormat="1" applyFont="1" applyFill="1" applyBorder="1" applyAlignment="1">
      <x:alignment vertical="center"/>
    </x:xf>
    <x:xf numFmtId="200" fontId="19" fillId="8" borderId="23" xfId="0" applyNumberFormat="1" applyFont="1" applyFill="1" applyBorder="1" applyAlignment="1">
      <x:alignment vertical="center"/>
    </x:xf>
    <x:xf numFmtId="0" fontId="24" fillId="5" borderId="0" xfId="0" applyNumberFormat="1" applyFont="1" applyFill="1" applyBorder="1" applyAlignment="1">
      <x:alignment vertical="center" wrapText="1"/>
    </x:xf>
    <x:xf numFmtId="0" fontId="24" fillId="5" borderId="12" xfId="0" applyNumberFormat="1" applyFont="1" applyFill="1" applyBorder="1" applyAlignment="1">
      <x:alignment vertical="center" wrapText="1"/>
    </x:xf>
    <x:xf numFmtId="0" fontId="20" fillId="7" borderId="8" xfId="0" applyNumberFormat="1" applyFont="1" applyFill="1" applyBorder="1" applyAlignment="1">
      <x:alignment horizontal="center" vertical="center" wrapText="1"/>
    </x:xf>
    <x:xf numFmtId="0" fontId="20" fillId="7" borderId="9" xfId="0" applyNumberFormat="1" applyFont="1" applyFill="1" applyBorder="1" applyAlignment="1">
      <x:alignment horizontal="center" vertical="center" wrapText="1"/>
    </x:xf>
    <x:xf numFmtId="0" fontId="20" fillId="7" borderId="10" xfId="0" applyNumberFormat="1" applyFont="1" applyFill="1" applyBorder="1" applyAlignment="1">
      <x:alignment horizontal="center" vertical="center" wrapText="1"/>
    </x:xf>
    <x:xf numFmtId="0" fontId="20" fillId="7" borderId="20" xfId="0" applyNumberFormat="1" applyFont="1" applyFill="1" applyBorder="1" applyAlignment="1">
      <x:alignment horizontal="center" vertical="center" wrapText="1"/>
    </x:xf>
    <x:xf numFmtId="0" fontId="20" fillId="7" borderId="21" xfId="0" applyNumberFormat="1" applyFont="1" applyFill="1" applyBorder="1" applyAlignment="1">
      <x:alignment horizontal="center" vertical="center" wrapText="1"/>
    </x:xf>
    <x:xf numFmtId="0" fontId="20" fillId="7" borderId="22" xfId="0" applyNumberFormat="1" applyFont="1" applyFill="1" applyBorder="1" applyAlignment="1">
      <x:alignment horizontal="center" vertical="center" wrapText="1"/>
    </x:xf>
    <x:xf numFmtId="0" fontId="16" fillId="7" borderId="8" xfId="0" applyNumberFormat="1" applyFont="1" applyFill="1" applyBorder="1" applyAlignment="1">
      <x:alignment horizontal="center" vertical="center" wrapText="1"/>
    </x:xf>
    <x:xf numFmtId="0" fontId="16" fillId="7" borderId="9" xfId="0" applyNumberFormat="1" applyFont="1" applyFill="1" applyBorder="1" applyAlignment="1">
      <x:alignment horizontal="center" vertical="center" wrapText="1"/>
    </x:xf>
    <x:xf numFmtId="0" fontId="16" fillId="7" borderId="10" xfId="0" applyNumberFormat="1" applyFont="1" applyFill="1" applyBorder="1" applyAlignment="1">
      <x:alignment horizontal="center" vertical="center" wrapText="1"/>
    </x:xf>
    <x:xf numFmtId="0" fontId="16" fillId="7" borderId="20" xfId="0" applyNumberFormat="1" applyFont="1" applyFill="1" applyBorder="1" applyAlignment="1">
      <x:alignment horizontal="center" vertical="center" wrapText="1"/>
    </x:xf>
    <x:xf numFmtId="0" fontId="16" fillId="7" borderId="21" xfId="0" applyNumberFormat="1" applyFont="1" applyFill="1" applyBorder="1" applyAlignment="1">
      <x:alignment horizontal="center" vertical="center" wrapText="1"/>
    </x:xf>
    <x:xf numFmtId="0" fontId="16" fillId="7" borderId="22" xfId="0" applyNumberFormat="1" applyFont="1" applyFill="1" applyBorder="1" applyAlignment="1">
      <x:alignment horizontal="center" vertical="center" wrapText="1"/>
    </x:xf>
    <x:xf numFmtId="0" fontId="19" fillId="9" borderId="11" xfId="0" applyNumberFormat="1" applyFont="1" applyFill="1" applyBorder="1" applyAlignment="1">
      <x:alignment vertical="center"/>
    </x:xf>
    <x:xf numFmtId="201" fontId="19" fillId="9" borderId="11" xfId="0" applyNumberFormat="1" applyFont="1" applyFill="1" applyBorder="1" applyAlignment="1">
      <x:alignment horizontal="center" vertical="center"/>
    </x:xf>
    <x:xf numFmtId="0" fontId="19" fillId="9" borderId="11" xfId="0" applyNumberFormat="1" applyFont="1" applyFill="1" applyBorder="1" applyAlignment="1">
      <x:alignment vertical="center" wrapText="1"/>
    </x:xf>
    <x:xf numFmtId="200" fontId="19" fillId="9" borderId="11" xfId="0" applyNumberFormat="1" applyFont="1" applyFill="1" applyBorder="1" applyAlignment="1">
      <x:alignment horizontal="right" vertical="center"/>
    </x:xf>
    <x:xf numFmtId="0" fontId="20" fillId="9" borderId="11" xfId="0" applyNumberFormat="1" applyFont="1" applyFill="1" applyBorder="1" applyAlignment="1">
      <x:alignment vertical="center"/>
    </x:xf>
    <x:xf numFmtId="0" fontId="19" fillId="9" borderId="23" xfId="0" applyNumberFormat="1" applyFont="1" applyFill="1" applyBorder="1" applyAlignment="1">
      <x:alignment vertical="center"/>
    </x:xf>
    <x:xf numFmtId="201" fontId="19" fillId="9" borderId="23" xfId="0" applyNumberFormat="1" applyFont="1" applyFill="1" applyBorder="1" applyAlignment="1">
      <x:alignment horizontal="center" vertical="center"/>
    </x:xf>
    <x:xf numFmtId="0" fontId="19" fillId="9" borderId="23" xfId="0" applyNumberFormat="1" applyFont="1" applyFill="1" applyBorder="1" applyAlignment="1">
      <x:alignment vertical="center" wrapText="1"/>
    </x:xf>
    <x:xf numFmtId="200" fontId="19" fillId="9" borderId="23" xfId="0" applyNumberFormat="1" applyFont="1" applyFill="1" applyBorder="1" applyAlignment="1">
      <x:alignment horizontal="right" vertical="center"/>
    </x:xf>
    <x:xf numFmtId="0" fontId="20" fillId="9" borderId="23" xfId="0" applyNumberFormat="1" applyFont="1" applyFill="1" applyBorder="1" applyAlignment="1">
      <x:alignment vertical="center"/>
    </x:xf>
    <x:xf numFmtId="200" fontId="19" fillId="0" borderId="6" xfId="0" applyNumberFormat="1" applyFont="1" applyFill="1" applyBorder="1" applyAlignment="1">
      <x:alignment horizontal="right" vertical="center" wrapText="1"/>
    </x:xf>
    <x:xf numFmtId="0" fontId="20" fillId="0" borderId="6" xfId="0" applyNumberFormat="1" applyFont="1" applyFill="1" applyBorder="1" applyAlignment="1">
      <x:alignment vertical="center" wrapText="1"/>
    </x:xf>
    <x:xf numFmtId="200" fontId="19" fillId="9" borderId="11" xfId="0" applyNumberFormat="1" applyFont="1" applyFill="1" applyBorder="1" applyAlignment="1">
      <x:alignment horizontal="right" vertical="center" wrapText="1"/>
    </x:xf>
    <x:xf numFmtId="0" fontId="20" fillId="9" borderId="11" xfId="0" applyNumberFormat="1" applyFont="1" applyFill="1" applyBorder="1" applyAlignment="1">
      <x:alignment vertical="center" wrapText="1"/>
    </x:xf>
    <x:xf numFmtId="200" fontId="19" fillId="0" borderId="11" xfId="0" applyNumberFormat="1" applyFont="1" applyFill="1" applyBorder="1" applyAlignment="1">
      <x:alignment horizontal="right" vertical="center" wrapText="1"/>
    </x:xf>
    <x:xf numFmtId="0" fontId="20" fillId="0" borderId="11" xfId="0" applyNumberFormat="1" applyFont="1" applyFill="1" applyBorder="1" applyAlignment="1">
      <x:alignment vertical="center" wrapText="1"/>
    </x:xf>
    <x:xf numFmtId="200" fontId="19" fillId="0" borderId="18" xfId="0" applyNumberFormat="1" applyFont="1" applyFill="1" applyBorder="1" applyAlignment="1">
      <x:alignment horizontal="right" vertical="center" wrapText="1"/>
    </x:xf>
    <x:xf numFmtId="0" fontId="20" fillId="0" borderId="18" xfId="0" applyNumberFormat="1" applyFont="1" applyFill="1" applyBorder="1" applyAlignment="1">
      <x:alignment vertical="center" wrapText="1"/>
    </x:xf>
    <x:xf numFmtId="200" fontId="19" fillId="9" borderId="23" xfId="0" applyNumberFormat="1" applyFont="1" applyFill="1" applyBorder="1" applyAlignment="1">
      <x:alignment horizontal="right" vertical="center" wrapText="1"/>
    </x:xf>
    <x:xf numFmtId="0" fontId="20" fillId="9" borderId="23" xfId="0" applyNumberFormat="1" applyFont="1" applyFill="1" applyBorder="1" applyAlignment="1">
      <x:alignment vertical="center" wrapText="1"/>
    </x:xf>
    <x:xf numFmtId="200" fontId="19" fillId="0" borderId="23" xfId="0" applyNumberFormat="1" applyFont="1" applyFill="1" applyBorder="1" applyAlignment="1">
      <x:alignment horizontal="right" vertical="center" wrapText="1"/>
    </x:xf>
    <x:xf numFmtId="0" fontId="20" fillId="0" borderId="23" xfId="0" applyNumberFormat="1" applyFont="1" applyFill="1" applyBorder="1" applyAlignment="1">
      <x:alignment vertical="center" wrapText="1"/>
    </x:xf>
    <x:xf numFmtId="0" fontId="29" fillId="0" borderId="6" xfId="0" applyNumberFormat="1" applyFont="1" applyFill="1" applyBorder="1" applyAlignment="1">
      <x:alignment vertical="center"/>
    </x:xf>
    <x:xf numFmtId="0" fontId="29" fillId="9" borderId="11" xfId="0" applyNumberFormat="1" applyFont="1" applyFill="1" applyBorder="1" applyAlignment="1">
      <x:alignment vertical="center"/>
    </x:xf>
    <x:xf numFmtId="0" fontId="29" fillId="0" borderId="11" xfId="0" applyNumberFormat="1" applyFont="1" applyFill="1" applyBorder="1" applyAlignment="1">
      <x:alignment vertical="center"/>
    </x:xf>
    <x:xf numFmtId="0" fontId="29" fillId="0" borderId="18" xfId="0" applyNumberFormat="1" applyFont="1" applyFill="1" applyBorder="1" applyAlignment="1">
      <x:alignment vertical="center"/>
    </x:xf>
    <x:xf numFmtId="0" fontId="29" fillId="9" borderId="23" xfId="0" applyNumberFormat="1" applyFont="1" applyFill="1" applyBorder="1" applyAlignment="1">
      <x:alignment vertical="center"/>
    </x:xf>
    <x:xf numFmtId="0" fontId="29" fillId="0" borderId="23" xfId="0" applyNumberFormat="1" applyFont="1" applyFill="1" applyBorder="1" applyAlignment="1">
      <x:alignment vertical="center"/>
    </x:xf>
    <x:xf numFmtId="0" fontId="30" fillId="0" borderId="6" xfId="0" applyNumberFormat="1" applyFont="1" applyFill="1" applyBorder="1" applyAlignment="1">
      <x:alignment vertical="center"/>
    </x:xf>
    <x:xf numFmtId="0" fontId="30" fillId="9" borderId="11" xfId="0" applyNumberFormat="1" applyFont="1" applyFill="1" applyBorder="1" applyAlignment="1">
      <x:alignment vertical="center"/>
    </x:xf>
    <x:xf numFmtId="0" fontId="30" fillId="0" borderId="11" xfId="0" applyNumberFormat="1" applyFont="1" applyFill="1" applyBorder="1" applyAlignment="1">
      <x:alignment vertical="center"/>
    </x:xf>
    <x:xf numFmtId="0" fontId="30" fillId="0" borderId="18" xfId="0" applyNumberFormat="1" applyFont="1" applyFill="1" applyBorder="1" applyAlignment="1">
      <x:alignment vertical="center"/>
    </x:xf>
    <x:xf numFmtId="0" fontId="30" fillId="9" borderId="23" xfId="0" applyNumberFormat="1" applyFont="1" applyFill="1" applyBorder="1" applyAlignment="1">
      <x:alignment vertical="center"/>
    </x:xf>
    <x:xf numFmtId="0" fontId="30" fillId="0" borderId="23" xfId="0" applyNumberFormat="1" applyFont="1" applyFill="1" applyBorder="1" applyAlignment="1">
      <x:alignment vertical="center"/>
    </x:xf>
    <x:xf numFmtId="0" fontId="31" fillId="0" borderId="6" xfId="0" applyNumberFormat="1" applyFont="1" applyFill="1" applyBorder="1" applyAlignment="1">
      <x:alignment vertical="center" wrapText="1"/>
    </x:xf>
    <x:xf numFmtId="0" fontId="31" fillId="9" borderId="11" xfId="0" applyNumberFormat="1" applyFont="1" applyFill="1" applyBorder="1" applyAlignment="1">
      <x:alignment vertical="center" wrapText="1"/>
    </x:xf>
    <x:xf numFmtId="0" fontId="31" fillId="0" borderId="11" xfId="0" applyNumberFormat="1" applyFont="1" applyFill="1" applyBorder="1" applyAlignment="1">
      <x:alignment vertical="center" wrapText="1"/>
    </x:xf>
    <x:xf numFmtId="0" fontId="31" fillId="0" borderId="18" xfId="0" applyNumberFormat="1" applyFont="1" applyFill="1" applyBorder="1" applyAlignment="1">
      <x:alignment vertical="center" wrapText="1"/>
    </x:xf>
    <x:xf numFmtId="0" fontId="31" fillId="9" borderId="23" xfId="0" applyNumberFormat="1" applyFont="1" applyFill="1" applyBorder="1" applyAlignment="1">
      <x:alignment vertical="center" wrapText="1"/>
    </x:xf>
    <x:xf numFmtId="0" fontId="31" fillId="0" borderId="23" xfId="0" applyNumberFormat="1" applyFont="1" applyFill="1" applyBorder="1" applyAlignment="1">
      <x:alignment vertical="center" wrapText="1"/>
    </x:xf>
    <x:xf numFmtId="0" fontId="14" fillId="2" borderId="0" xfId="0" applyNumberFormat="1" applyFont="1" applyFill="1" applyBorder="1" applyAlignment="1">
      <x:alignment horizontal="center" vertical="center"/>
    </x:xf>
    <x:xf numFmtId="0" fontId="15" fillId="0" borderId="0" xfId="0" applyNumberFormat="1" applyFont="1" applyFill="1" applyBorder="1" applyAlignment="1">
      <x:alignment horizontal="center" vertical="center"/>
    </x:xf>
    <x:xf numFmtId="200" fontId="15" fillId="0" borderId="0" xfId="0" applyNumberFormat="1" applyFont="1" applyFill="1" applyBorder="1" applyAlignment="1">
      <x:alignment horizontal="center" vertical="center"/>
    </x:xf>
    <x:xf numFmtId="0" fontId="32" fillId="0" borderId="6" xfId="0" applyNumberFormat="1" applyFont="1" applyFill="1" applyBorder="1" applyAlignment="1">
      <x:alignment vertical="top"/>
    </x:xf>
    <x:xf numFmtId="0" fontId="14" fillId="2" borderId="12" xfId="0" applyNumberFormat="1" applyFont="1" applyFill="1" applyBorder="1" applyAlignment="1">
      <x:alignment horizontal="center" vertical="center"/>
    </x:xf>
    <x:xf numFmtId="0" fontId="15" fillId="0" borderId="12" xfId="0" applyNumberFormat="1" applyFont="1" applyFill="1" applyBorder="1" applyAlignment="1">
      <x:alignment horizontal="center" vertical="center"/>
    </x:xf>
    <x:xf numFmtId="200" fontId="15" fillId="0" borderId="12" xfId="0" applyNumberFormat="1" applyFont="1" applyFill="1" applyBorder="1" applyAlignment="1">
      <x:alignment horizontal="center" vertical="center"/>
    </x:xf>
    <x:xf numFmtId="0" fontId="32" fillId="0" borderId="18" xfId="0" applyNumberFormat="1" applyFont="1" applyFill="1" applyBorder="1" applyAlignment="1">
      <x:alignment vertical="top"/>
    </x:xf>
    <x:xf numFmtId="0" fontId="14" fillId="0" borderId="0" xfId="0" applyNumberFormat="1" applyFont="1" applyFill="1" applyBorder="1" applyAlignment="1">
      <x:alignment horizontal="center" vertical="center"/>
    </x:xf>
    <x:xf numFmtId="200" fontId="14" fillId="0" borderId="0" xfId="0" applyNumberFormat="1" applyFont="1" applyFill="1" applyBorder="1" applyAlignment="1">
      <x:alignment horizontal="center" vertical="center"/>
    </x:xf>
    <x:xf numFmtId="0" fontId="33" fillId="0" borderId="6" xfId="0" applyNumberFormat="1" applyFont="1" applyFill="1" applyBorder="1" applyAlignment="1">
      <x:alignment vertical="top"/>
    </x:xf>
    <x:xf numFmtId="0" fontId="14" fillId="0" borderId="12" xfId="0" applyNumberFormat="1" applyFont="1" applyFill="1" applyBorder="1" applyAlignment="1">
      <x:alignment horizontal="center" vertical="center"/>
    </x:xf>
    <x:xf numFmtId="200" fontId="14" fillId="0" borderId="12" xfId="0" applyNumberFormat="1" applyFont="1" applyFill="1" applyBorder="1" applyAlignment="1">
      <x:alignment horizontal="center" vertical="center"/>
    </x:xf>
    <x:xf numFmtId="0" fontId="33" fillId="0" borderId="18" xfId="0" applyNumberFormat="1" applyFont="1" applyFill="1" applyBorder="1" applyAlignment="1">
      <x:alignment vertical="top"/>
    </x:xf>
    <x:xf numFmtId="0" fontId="20" fillId="2" borderId="0" xfId="0" applyNumberFormat="1" applyFont="1" applyFill="1" applyBorder="1" applyAlignment="1">
      <x:alignment horizontal="center" vertical="center"/>
    </x:xf>
    <x:xf numFmtId="0" fontId="20" fillId="0" borderId="0" xfId="0" applyNumberFormat="1" applyFont="1" applyFill="1" applyBorder="1" applyAlignment="1">
      <x:alignment horizontal="center" vertical="center"/>
    </x:xf>
    <x:xf numFmtId="200" fontId="20" fillId="0" borderId="0" xfId="0" applyNumberFormat="1" applyFont="1" applyFill="1" applyBorder="1" applyAlignment="1">
      <x:alignment horizontal="center" vertical="center"/>
    </x:xf>
    <x:xf numFmtId="0" fontId="20" fillId="2" borderId="12" xfId="0" applyNumberFormat="1" applyFont="1" applyFill="1" applyBorder="1" applyAlignment="1">
      <x:alignment horizontal="center" vertical="center"/>
    </x:xf>
    <x:xf numFmtId="0" fontId="20" fillId="0" borderId="12" xfId="0" applyNumberFormat="1" applyFont="1" applyFill="1" applyBorder="1" applyAlignment="1">
      <x:alignment horizontal="center" vertical="center"/>
    </x:xf>
    <x:xf numFmtId="200" fontId="20" fillId="0" borderId="12" xfId="0" applyNumberFormat="1" applyFont="1" applyFill="1" applyBorder="1" applyAlignment="1">
      <x:alignment horizontal="center" vertical="center"/>
    </x:xf>
    <x:xf numFmtId="0" fontId="34" fillId="0" borderId="0" xfId="0" applyNumberFormat="1" applyFont="1" applyFill="1" applyBorder="1" applyAlignment="1">
      <x:alignment vertical="center"/>
    </x:xf>
    <x:xf numFmtId="0" fontId="35" fillId="0" borderId="0" xfId="0" applyNumberFormat="1" applyFont="1" applyFill="1" applyBorder="1" applyAlignment="1">
      <x:alignment vertical="center"/>
    </x:xf>
    <x:xf numFmtId="0" fontId="34" fillId="0" borderId="12" xfId="0" applyNumberFormat="1" applyFont="1" applyFill="1" applyBorder="1" applyAlignment="1">
      <x:alignment vertical="center"/>
    </x:xf>
    <x:xf numFmtId="0" fontId="35" fillId="0" borderId="12" xfId="0" applyNumberFormat="1" applyFont="1" applyFill="1" applyBorder="1" applyAlignment="1">
      <x:alignment vertical="center"/>
    </x:xf>
    <x:xf numFmtId="0" fontId="36" fillId="0" borderId="0" xfId="0" applyNumberFormat="1" applyFont="1" applyFill="1" applyBorder="1" applyAlignment="1">
      <x:alignment vertical="center"/>
    </x:xf>
    <x:xf numFmtId="0" fontId="36" fillId="0" borderId="12" xfId="0" applyNumberFormat="1" applyFont="1" applyFill="1" applyBorder="1" applyAlignment="1">
      <x:alignment vertical="center"/>
    </x:xf>
    <x:xf numFmtId="0" fontId="20" fillId="6" borderId="0" xfId="0" applyNumberFormat="1" applyFont="1" applyFill="1" applyBorder="1" applyAlignment="1">
      <x:alignment horizontal="center" vertical="center"/>
    </x:xf>
    <x:xf numFmtId="0" fontId="20" fillId="6" borderId="12" xfId="0" applyNumberFormat="1" applyFont="1" applyFill="1" applyBorder="1" applyAlignment="1">
      <x:alignment horizontal="center" vertical="center"/>
    </x:xf>
    <x:xf numFmtId="0" fontId="26" fillId="6" borderId="0" xfId="0" applyNumberFormat="1" applyFont="1" applyFill="1" applyBorder="1" applyAlignment="1">
      <x:alignment horizontal="center" vertical="center"/>
    </x:xf>
    <x:xf numFmtId="0" fontId="26" fillId="6" borderId="12" xfId="0" applyNumberFormat="1" applyFont="1" applyFill="1" applyBorder="1" applyAlignment="1">
      <x:alignment horizontal="center" vertical="center"/>
    </x:xf>
    <x:xf numFmtId="0" fontId="37" fillId="0" borderId="0" xfId="0" applyNumberFormat="1" applyFont="1" applyFill="1" applyBorder="1" applyAlignment="1">
      <x:alignment horizontal="center" vertical="center"/>
    </x:xf>
    <x:xf numFmtId="0" fontId="37" fillId="0" borderId="12" xfId="0" applyNumberFormat="1" applyFont="1" applyFill="1" applyBorder="1" applyAlignment="1">
      <x:alignment horizontal="center" vertical="center"/>
    </x:xf>
    <x:xf numFmtId="0" fontId="38" fillId="0" borderId="0" xfId="0" applyNumberFormat="1" applyFont="1" applyFill="1" applyBorder="1" applyAlignment="1">
      <x:alignment horizontal="center" vertical="center"/>
    </x:xf>
    <x:xf numFmtId="0" fontId="38" fillId="0" borderId="12" xfId="0" applyNumberFormat="1" applyFont="1" applyFill="1" applyBorder="1" applyAlignment="1">
      <x:alignment horizontal="center" vertical="center"/>
    </x:xf>
    <x:xf numFmtId="200" fontId="37" fillId="0" borderId="0" xfId="0" applyNumberFormat="1" applyFont="1" applyFill="1" applyBorder="1" applyAlignment="1">
      <x:alignment horizontal="center" vertical="center"/>
    </x:xf>
    <x:xf numFmtId="200" fontId="37" fillId="0" borderId="12" xfId="0" applyNumberFormat="1" applyFont="1" applyFill="1" applyBorder="1" applyAlignment="1">
      <x:alignment horizontal="center" vertical="center"/>
    </x:xf>
    <x:xf numFmtId="200" fontId="38" fillId="0" borderId="0" xfId="0" applyNumberFormat="1" applyFont="1" applyFill="1" applyBorder="1" applyAlignment="1">
      <x:alignment horizontal="center" vertical="center"/>
    </x:xf>
    <x:xf numFmtId="200" fontId="38" fillId="0" borderId="12" xfId="0" applyNumberFormat="1" applyFont="1" applyFill="1" applyBorder="1" applyAlignment="1">
      <x:alignment horizontal="center" vertical="center"/>
    </x:xf>
    <x:xf numFmtId="0" fontId="32" fillId="0" borderId="11" xfId="0" applyNumberFormat="1" applyFont="1" applyFill="1" applyBorder="1" applyAlignment="1">
      <x:alignment vertical="top"/>
    </x:xf>
    <x:xf numFmtId="0" fontId="32" fillId="0" borderId="23" xfId="0" applyNumberFormat="1" applyFont="1" applyFill="1" applyBorder="1" applyAlignment="1">
      <x:alignment vertical="top"/>
    </x:xf>
    <x:xf numFmtId="0" fontId="33" fillId="0" borderId="11" xfId="0" applyNumberFormat="1" applyFont="1" applyFill="1" applyBorder="1" applyAlignment="1">
      <x:alignment vertical="top"/>
    </x:xf>
    <x:xf numFmtId="0" fontId="33" fillId="0" borderId="23" xfId="0" applyNumberFormat="1" applyFont="1" applyFill="1" applyBorder="1" applyAlignment="1">
      <x:alignment vertical="top"/>
    </x:xf>
    <x:xf numFmtId="201" fontId="11" fillId="0" borderId="6" xfId="0" applyNumberFormat="1" applyFont="1" applyFill="1" applyBorder="1" applyAlignment="1">
      <x:alignment vertical="top"/>
    </x:xf>
    <x:xf numFmtId="201" fontId="11" fillId="0" borderId="11" xfId="0" applyNumberFormat="1" applyFont="1" applyFill="1" applyBorder="1" applyAlignment="1">
      <x:alignment vertical="top"/>
    </x:xf>
    <x:xf numFmtId="201" fontId="11" fillId="0" borderId="18" xfId="0" applyNumberFormat="1" applyFont="1" applyFill="1" applyBorder="1" applyAlignment="1">
      <x:alignment vertical="top"/>
    </x:xf>
    <x:xf numFmtId="201" fontId="11" fillId="0" borderId="23" xfId="0" applyNumberFormat="1" applyFont="1" applyFill="1" applyBorder="1" applyAlignment="1">
      <x:alignment vertical="top"/>
    </x:xf>
    <x:xf numFmtId="201" fontId="19" fillId="0" borderId="6" xfId="0" applyNumberFormat="1" applyFont="1" applyFill="1" applyBorder="1" applyAlignment="1">
      <x:alignment vertical="top"/>
    </x:xf>
    <x:xf numFmtId="201" fontId="19" fillId="0" borderId="11" xfId="0" applyNumberFormat="1" applyFont="1" applyFill="1" applyBorder="1" applyAlignment="1">
      <x:alignment vertical="top"/>
    </x:xf>
    <x:xf numFmtId="201" fontId="19" fillId="0" borderId="18" xfId="0" applyNumberFormat="1" applyFont="1" applyFill="1" applyBorder="1" applyAlignment="1">
      <x:alignment vertical="top"/>
    </x:xf>
    <x:xf numFmtId="201" fontId="19" fillId="0" borderId="23" xfId="0" applyNumberFormat="1" applyFont="1" applyFill="1" applyBorder="1" applyAlignment="1">
      <x:alignment vertical="top"/>
    </x:xf>
    <x:xf numFmtId="201" fontId="19" fillId="0" borderId="6" xfId="0" applyNumberFormat="1" applyFont="1" applyFill="1" applyBorder="1" applyAlignment="1">
      <x:alignment vertical="center"/>
    </x:xf>
    <x:xf numFmtId="201" fontId="19" fillId="0" borderId="11" xfId="0" applyNumberFormat="1" applyFont="1" applyFill="1" applyBorder="1" applyAlignment="1">
      <x:alignment vertical="center"/>
    </x:xf>
    <x:xf numFmtId="201" fontId="19" fillId="0" borderId="18" xfId="0" applyNumberFormat="1" applyFont="1" applyFill="1" applyBorder="1" applyAlignment="1">
      <x:alignment vertical="center"/>
    </x:xf>
    <x:xf numFmtId="201" fontId="19" fillId="0" borderId="23" xfId="0" applyNumberFormat="1" applyFont="1" applyFill="1" applyBorder="1" applyAlignment="1">
      <x:alignment vertical="center"/>
    </x:xf>
    <x:xf numFmtId="0" fontId="19" fillId="9" borderId="6" xfId="0" applyNumberFormat="1" applyFont="1" applyFill="1" applyBorder="1" applyAlignment="1">
      <x:alignment vertical="center"/>
    </x:xf>
    <x:xf numFmtId="201" fontId="19" fillId="9" borderId="6" xfId="0" applyNumberFormat="1" applyFont="1" applyFill="1" applyBorder="1" applyAlignment="1">
      <x:alignment vertical="center"/>
    </x:xf>
    <x:xf numFmtId="0" fontId="19" fillId="9" borderId="6" xfId="0" applyNumberFormat="1" applyFont="1" applyFill="1" applyBorder="1" applyAlignment="1">
      <x:alignment vertical="center" wrapText="1"/>
    </x:xf>
    <x:xf numFmtId="200" fontId="19" fillId="9" borderId="6" xfId="0" applyNumberFormat="1" applyFont="1" applyFill="1" applyBorder="1" applyAlignment="1">
      <x:alignment vertical="center"/>
    </x:xf>
    <x:xf numFmtId="0" fontId="20" fillId="9" borderId="6" xfId="0" applyNumberFormat="1" applyFont="1" applyFill="1" applyBorder="1" applyAlignment="1">
      <x:alignment vertical="center"/>
    </x:xf>
    <x:xf numFmtId="0" fontId="19" fillId="9" borderId="18" xfId="0" applyNumberFormat="1" applyFont="1" applyFill="1" applyBorder="1" applyAlignment="1">
      <x:alignment vertical="center"/>
    </x:xf>
    <x:xf numFmtId="201" fontId="19" fillId="9" borderId="18" xfId="0" applyNumberFormat="1" applyFont="1" applyFill="1" applyBorder="1" applyAlignment="1">
      <x:alignment vertical="center"/>
    </x:xf>
    <x:xf numFmtId="0" fontId="19" fillId="9" borderId="18" xfId="0" applyNumberFormat="1" applyFont="1" applyFill="1" applyBorder="1" applyAlignment="1">
      <x:alignment vertical="center" wrapText="1"/>
    </x:xf>
    <x:xf numFmtId="200" fontId="19" fillId="9" borderId="18" xfId="0" applyNumberFormat="1" applyFont="1" applyFill="1" applyBorder="1" applyAlignment="1">
      <x:alignment vertical="center"/>
    </x:xf>
    <x:xf numFmtId="0" fontId="20" fillId="9" borderId="18" xfId="0" applyNumberFormat="1" applyFont="1" applyFill="1" applyBorder="1" applyAlignment="1">
      <x:alignment vertical="center"/>
    </x:xf>
    <x:xf numFmtId="201" fontId="19" fillId="9" borderId="11" xfId="0" applyNumberFormat="1" applyFont="1" applyFill="1" applyBorder="1" applyAlignment="1">
      <x:alignment vertical="center"/>
    </x:xf>
    <x:xf numFmtId="200" fontId="19" fillId="9" borderId="11" xfId="0" applyNumberFormat="1" applyFont="1" applyFill="1" applyBorder="1" applyAlignment="1">
      <x:alignment vertical="center"/>
    </x:xf>
    <x:xf numFmtId="201" fontId="19" fillId="9" borderId="23" xfId="0" applyNumberFormat="1" applyFont="1" applyFill="1" applyBorder="1" applyAlignment="1">
      <x:alignment vertical="center"/>
    </x:xf>
    <x:xf numFmtId="200" fontId="19" fillId="9" borderId="23" xfId="0" applyNumberFormat="1" applyFont="1" applyFill="1" applyBorder="1" applyAlignment="1">
      <x:alignment vertical="center"/>
    </x:xf>
    <x:xf numFmtId="200" fontId="19" fillId="9" borderId="6" xfId="0" applyNumberFormat="1" applyFont="1" applyFill="1" applyBorder="1" applyAlignment="1">
      <x:alignment vertical="center" wrapText="1"/>
    </x:xf>
    <x:xf numFmtId="0" fontId="20" fillId="9" borderId="6" xfId="0" applyNumberFormat="1" applyFont="1" applyFill="1" applyBorder="1" applyAlignment="1">
      <x:alignment vertical="center" wrapText="1"/>
    </x:xf>
    <x:xf numFmtId="200" fontId="19" fillId="0" borderId="11" xfId="0" applyNumberFormat="1" applyFont="1" applyFill="1" applyBorder="1" applyAlignment="1">
      <x:alignment vertical="center" wrapText="1"/>
    </x:xf>
    <x:xf numFmtId="200" fontId="19" fillId="9" borderId="11" xfId="0" applyNumberFormat="1" applyFont="1" applyFill="1" applyBorder="1" applyAlignment="1">
      <x:alignment vertical="center" wrapText="1"/>
    </x:xf>
    <x:xf numFmtId="200" fontId="19" fillId="9" borderId="18" xfId="0" applyNumberFormat="1" applyFont="1" applyFill="1" applyBorder="1" applyAlignment="1">
      <x:alignment vertical="center" wrapText="1"/>
    </x:xf>
    <x:xf numFmtId="0" fontId="20" fillId="9" borderId="18" xfId="0" applyNumberFormat="1" applyFont="1" applyFill="1" applyBorder="1" applyAlignment="1">
      <x:alignment vertical="center" wrapText="1"/>
    </x:xf>
    <x:xf numFmtId="200" fontId="19" fillId="0" borderId="23" xfId="0" applyNumberFormat="1" applyFont="1" applyFill="1" applyBorder="1" applyAlignment="1">
      <x:alignment vertical="center" wrapText="1"/>
    </x:xf>
    <x:xf numFmtId="200" fontId="19" fillId="9" borderId="23" xfId="0" applyNumberFormat="1" applyFont="1" applyFill="1" applyBorder="1" applyAlignment="1">
      <x:alignment vertical="center" wrapText="1"/>
    </x:xf>
    <x:xf numFmtId="0" fontId="29" fillId="9" borderId="6" xfId="0" applyNumberFormat="1" applyFont="1" applyFill="1" applyBorder="1" applyAlignment="1">
      <x:alignment vertical="center"/>
    </x:xf>
    <x:xf numFmtId="0" fontId="29" fillId="9" borderId="18" xfId="0" applyNumberFormat="1" applyFont="1" applyFill="1" applyBorder="1" applyAlignment="1">
      <x:alignment vertical="center"/>
    </x:xf>
    <x:xf numFmtId="0" fontId="30" fillId="9" borderId="6" xfId="0" applyNumberFormat="1" applyFont="1" applyFill="1" applyBorder="1" applyAlignment="1">
      <x:alignment vertical="center"/>
    </x:xf>
  </x:cellXfs>
  <x:cellStyles count="1">
    <x:cellStyle name="Normal" xfId="0"/>
  </x:cellStyles>
  <x:dxfs count="28">
    <x:dxf>
      <x:font>
        <x:b/>
        <x:color rgb="FF375623"/>
      </x:font>
      <x:fill>
        <x:patternFill>
          <x:bgColor rgb="FFE2F0D9"/>
        </x:patternFill>
      </x:fill>
    </x:dxf>
    <x:dxf>
      <x:font>
        <x:color rgb="FF17365D"/>
      </x:font>
      <x:fill>
        <x:patternFill>
          <x:bgColor rgb="FFD9EAF7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17365D"/>
      </x:font>
      <x:fill>
        <x:patternFill>
          <x:bgColor rgb="FFEDF4FB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color rgb="FF17365D"/>
      </x:font>
      <x:fill>
        <x:patternFill>
          <x:bgColor rgb="FFD9EAF7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17365D"/>
      </x:font>
      <x:fill>
        <x:patternFill>
          <x:bgColor rgb="FFEDF4FB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color rgb="FF17365D"/>
      </x:font>
      <x:fill>
        <x:patternFill>
          <x:bgColor rgb="FFD9EAF7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17365D"/>
      </x:font>
      <x:fill>
        <x:patternFill>
          <x:bgColor rgb="FFEDF4FB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color rgb="FF17365D"/>
      </x:font>
      <x:fill>
        <x:patternFill>
          <x:bgColor rgb="FFD9EAF7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17365D"/>
      </x:font>
      <x:fill>
        <x:patternFill>
          <x:bgColor rgb="FFEDF4FB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color rgb="FF17365D"/>
      </x:font>
      <x:fill>
        <x:patternFill>
          <x:bgColor rgb="FFD9EAF7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17365D"/>
      </x:font>
      <x:fill>
        <x:patternFill>
          <x:bgColor rgb="FFEDF4FB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color rgb="FF17365D"/>
      </x:font>
      <x:fill>
        <x:patternFill>
          <x:bgColor rgb="FFD9EAF7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17365D"/>
      </x:font>
      <x:fill>
        <x:patternFill>
          <x:bgColor rgb="FFEDF4FB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color rgb="FF17365D"/>
      </x:font>
      <x:fill>
        <x:patternFill>
          <x:bgColor rgb="FFD9EAF7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17365D"/>
      </x:font>
      <x:fill>
        <x:patternFill>
          <x:bgColor rgb="FFEDF4F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aca9a23948425f" /><Relationship Type="http://schemas.openxmlformats.org/officeDocument/2006/relationships/theme" Target="/xl/theme/theme1.xml" Id="R2f7040eca36e4cb2" /><Relationship Type="http://schemas.openxmlformats.org/officeDocument/2006/relationships/sharedStrings" Target="/xl/sharedStrings.xml" Id="R01b671bc45254bc7" /><Relationship Type="http://schemas.openxmlformats.org/officeDocument/2006/relationships/worksheet" Target="/xl/worksheets/sheet1.xml" Id="R900ec71a7273444b" /><Relationship Type="http://schemas.openxmlformats.org/officeDocument/2006/relationships/worksheet" Target="/xl/worksheets/sheet2.xml" Id="R9f608c19b1ff4667" /><Relationship Type="http://schemas.openxmlformats.org/officeDocument/2006/relationships/worksheet" Target="/xl/worksheets/sheet3.xml" Id="R1869e9b657d94416" /><Relationship Type="http://schemas.openxmlformats.org/officeDocument/2006/relationships/worksheet" Target="/xl/worksheets/sheet4.xml" Id="R86f644a46cb04ef2" /><Relationship Type="http://schemas.openxmlformats.org/officeDocument/2006/relationships/worksheet" Target="/xl/worksheets/sheet5.xml" Id="R7fa029276d164d4a" /><Relationship Type="http://schemas.openxmlformats.org/officeDocument/2006/relationships/worksheet" Target="/xl/worksheets/sheet6.xml" Id="R57f68f3056504497" /><Relationship Type="http://schemas.openxmlformats.org/officeDocument/2006/relationships/worksheet" Target="/xl/worksheets/sheet7.xml" Id="R9118bc680a5e484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24" topLeftCell="A25" activePane="bottomLeft" state="frozen"/>
    </x:sheetView>
  </x:sheetViews>
  <x:sheetFormatPr defaultRowHeight="15"/>
  <x:cols>
    <x:col min="1" max="1" width="22" hidden="0" customWidth="1"/>
    <x:col min="2" max="2" width="25" hidden="0" customWidth="1"/>
    <x:col min="3" max="3" width="23" hidden="0" customWidth="1"/>
    <x:col min="4" max="4" width="24" hidden="0" customWidth="1"/>
    <x:col min="5" max="5" width="29" hidden="0" customWidth="1"/>
    <x:col min="6" max="6" width="52" hidden="0" customWidth="1"/>
    <x:col min="7" max="7" width="55" hidden="0" customWidth="1"/>
    <x:col min="8" max="8" width="24" hidden="0" customWidth="1"/>
    <x:col min="9" max="9" width="24" hidden="0" customWidth="1"/>
    <x:col min="10" max="10" width="24" hidden="0" customWidth="1"/>
    <x:col min="11" max="11" width="20" hidden="0" customWidth="1"/>
    <x:col min="12" max="12" width="64" hidden="0" customWidth="1"/>
  </x:cols>
  <x:sheetData>
    <x:row r="1" ht="22" customHeight="1">
      <x:c r="A1" s="204"/>
      <x:c r="B1" s="204"/>
      <x:c r="C1" s="204"/>
      <x:c r="D1" s="204"/>
      <x:c r="E1" s="204"/>
      <x:c r="F1" s="204"/>
      <x:c r="G1" s="204"/>
      <x:c r="H1" s="204"/>
      <x:c r="I1" s="204"/>
      <x:c r="J1" s="204"/>
      <x:c r="K1" s="204"/>
      <x:c r="L1" s="204"/>
      <x:c r="M1" s="2"/>
      <x:c r="N1" s="2"/>
      <x:c r="O1" s="2"/>
    </x:row>
    <x:row r="2" ht="37" customHeight="1">
      <x:c r="A2" s="286" t="str">
        <x:v>Operations issues resolved — October 2026</x:v>
      </x:c>
      <x:c r="B2" s="286"/>
      <x:c r="C2" s="286"/>
      <x:c r="D2" s="286"/>
      <x:c r="E2" s="286"/>
      <x:c r="F2" s="286"/>
      <x:c r="G2" s="286"/>
      <x:c r="H2" s="286"/>
      <x:c r="I2" s="286"/>
      <x:c r="J2" s="286"/>
      <x:c r="K2" s="286"/>
      <x:c r="L2" s="286"/>
      <x:c r="M2" s="2"/>
      <x:c r="N2" s="2"/>
      <x:c r="O2" s="2"/>
    </x:row>
    <x:row r="3" ht="25" customHeight="1">
      <x:c r="A3" s="288" t="str">
        <x:v>Operations X Product chat | 1–27 October 2026 | Asia/Kolkata</x:v>
      </x:c>
      <x:c r="B3" s="289"/>
      <x:c r="C3" s="289"/>
      <x:c r="D3" s="289"/>
      <x:c r="E3" s="289"/>
      <x:c r="F3" s="289"/>
      <x:c r="G3" s="289"/>
      <x:c r="H3" s="289"/>
      <x:c r="I3" s="289"/>
      <x:c r="J3" s="289"/>
      <x:c r="K3" s="289"/>
      <x:c r="L3" s="289"/>
      <x:c r="M3" s="2"/>
      <x:c r="N3" s="2"/>
      <x:c r="O3" s="2"/>
    </x:row>
    <x:row r="4" ht="22" customHeight="1">
      <x:c r="A4" s="207"/>
      <x:c r="B4" s="207"/>
      <x:c r="C4" s="207"/>
      <x:c r="D4" s="207"/>
      <x:c r="E4" s="207"/>
      <x:c r="F4" s="207"/>
      <x:c r="G4" s="207"/>
      <x:c r="H4" s="207"/>
      <x:c r="I4" s="207"/>
      <x:c r="J4" s="207"/>
      <x:c r="K4" s="207"/>
      <x:c r="L4" s="207"/>
      <x:c r="M4" s="2"/>
      <x:c r="N4" s="2"/>
      <x:c r="O4" s="2"/>
    </x:row>
    <x:row r="5" ht="22" customHeight="1">
      <x:c r="A5" s="296" t="str">
        <x:v>Resolved items</x:v>
      </x:c>
      <x:c r="B5" s="297"/>
      <x:c r="C5" s="297" t="str">
        <x:v>Average turnaround (hours)</x:v>
      </x:c>
      <x:c r="D5" s="297"/>
      <x:c r="E5" s="297" t="str">
        <x:v>Median turnaround (hours)</x:v>
      </x:c>
      <x:c r="F5" s="297"/>
      <x:c r="G5" s="297" t="str">
        <x:v>Requester-confirmed items</x:v>
      </x:c>
      <x:c r="H5" s="302"/>
      <x:c r="I5" s="204"/>
      <x:c r="J5" s="204"/>
      <x:c r="K5" s="204"/>
      <x:c r="L5" s="204"/>
      <x:c r="M5" s="2"/>
      <x:c r="N5" s="2"/>
      <x:c r="O5" s="2"/>
    </x:row>
    <x:row r="6" ht="22" customHeight="1">
      <x:c r="A6" s="306" t="n">
        <x:f>COUNTIFS('All Issues'!$L$2:$L$17,"Resolved")</x:f>
        <x:v>16</x:v>
      </x:c>
      <x:c r="B6" s="212"/>
      <x:c r="C6" s="310" t="n">
        <x:f>SUM('All Issues'!$K$2:$K$17)/COUNT('All Issues'!$K$2:$K$17)</x:f>
        <x:v>20.580000000000002</x:v>
      </x:c>
      <x:c r="D6" s="213"/>
      <x:c r="E6" s="310" t="n">
        <x:f>MEDIAN('All Issues'!$K$2:$K$17)</x:f>
        <x:v>2.7666666666666666</x:v>
      </x:c>
      <x:c r="F6" s="213"/>
      <x:c r="G6" s="314" t="n">
        <x:f>COUNTIFS('All Issues'!$J$2:$J$17,"Requester confirmed")</x:f>
        <x:v>8</x:v>
      </x:c>
      <x:c r="H6" s="214"/>
      <x:c r="I6" s="204"/>
      <x:c r="J6" s="204"/>
      <x:c r="K6" s="204"/>
      <x:c r="L6" s="204"/>
      <x:c r="M6" s="2"/>
      <x:c r="N6" s="2"/>
      <x:c r="O6" s="2"/>
    </x:row>
    <x:row r="7" ht="22" customHeight="1">
      <x:c r="A7" s="204"/>
      <x:c r="B7" s="204"/>
      <x:c r="C7" s="204"/>
      <x:c r="D7" s="204"/>
      <x:c r="E7" s="204"/>
      <x:c r="F7" s="204"/>
      <x:c r="G7" s="204"/>
      <x:c r="H7" s="204"/>
      <x:c r="I7" s="204"/>
      <x:c r="J7" s="204"/>
      <x:c r="K7" s="204"/>
      <x:c r="L7" s="204"/>
      <x:c r="M7" s="2"/>
      <x:c r="N7" s="2"/>
      <x:c r="O7" s="2"/>
    </x:row>
    <x:row r="8" ht="22" customHeight="1">
      <x:c r="A8" s="318" t="str">
        <x:v>Weekly summary</x:v>
      </x:c>
      <x:c r="B8" s="318"/>
      <x:c r="C8" s="318"/>
      <x:c r="D8" s="318"/>
      <x:c r="E8" s="318"/>
      <x:c r="F8" s="205"/>
      <x:c r="G8" s="318" t="str">
        <x:v>Issues by category</x:v>
      </x:c>
      <x:c r="H8" s="318"/>
      <x:c r="I8" s="204"/>
      <x:c r="J8" s="204"/>
      <x:c r="K8" s="204"/>
      <x:c r="L8" s="204"/>
      <x:c r="M8" s="2"/>
      <x:c r="N8" s="2"/>
      <x:c r="O8" s="2"/>
    </x:row>
    <x:row r="9" ht="28" customHeight="1">
      <x:c r="A9" s="326" t="str">
        <x:v>Week</x:v>
      </x:c>
      <x:c r="B9" s="327" t="str">
        <x:v>Date range</x:v>
      </x:c>
      <x:c r="C9" s="327" t="str">
        <x:v>Resolved items</x:v>
      </x:c>
      <x:c r="D9" s="327" t="str">
        <x:v>Average TAT (hours)</x:v>
      </x:c>
      <x:c r="E9" s="328" t="str">
        <x:v>Requester confirmed</x:v>
      </x:c>
      <x:c r="F9" s="204"/>
      <x:c r="G9" s="326" t="str">
        <x:v>Category</x:v>
      </x:c>
      <x:c r="H9" s="328" t="str">
        <x:v>Resolved items</x:v>
      </x:c>
      <x:c r="I9" s="204"/>
      <x:c r="J9" s="204"/>
      <x:c r="K9" s="204"/>
      <x:c r="L9" s="204"/>
      <x:c r="M9" s="2"/>
      <x:c r="N9" s="2"/>
      <x:c r="O9" s="2"/>
    </x:row>
    <x:row r="10" ht="22" customHeight="1">
      <x:c r="A10" s="332" t="str">
        <x:v>Week 1</x:v>
      </x:c>
      <x:c r="B10" s="332" t="str">
        <x:v>1–4 October 2026</x:v>
      </x:c>
      <x:c r="C10" s="332" t="n">
        <x:f>COUNTIFS('All Issues'!$D$2:$D$17,A10,'All Issues'!$L$2:$L$17,"Resolved")</x:f>
        <x:v>1</x:v>
      </x:c>
      <x:c r="D10" s="336" t="n">
        <x:f>SUMIFS('All Issues'!$K$2:$K$17,'All Issues'!$D$2:$D$17,A10)/COUNTIFS('All Issues'!$D$2:$D$17,A10,'All Issues'!$K$2:$K$17,"&gt;=0")</x:f>
        <x:v>2.7666666666666666</x:v>
      </x:c>
      <x:c r="E10" s="332" t="n">
        <x:f>COUNTIFS('All Issues'!$D$2:$D$17,A10,'All Issues'!$J$2:$J$17,"Requester confirmed")</x:f>
        <x:v>1</x:v>
      </x:c>
      <x:c r="F10" s="204"/>
      <x:c r="G10" s="332" t="str">
        <x:v>Assessment generation</x:v>
      </x:c>
      <x:c r="H10" s="332" t="n">
        <x:f>COUNTIFS('All Issues'!$E$2:$E$17,G10,'All Issues'!$L$2:$L$17,"Resolved")</x:f>
        <x:v>2</x:v>
      </x:c>
      <x:c r="I10" s="204"/>
      <x:c r="J10" s="204"/>
      <x:c r="K10" s="204"/>
      <x:c r="L10" s="204"/>
      <x:c r="M10" s="2"/>
      <x:c r="N10" s="2"/>
      <x:c r="O10" s="2"/>
    </x:row>
    <x:row r="11" ht="22" customHeight="1">
      <x:c r="A11" s="262" t="str">
        <x:v>Week 2</x:v>
      </x:c>
      <x:c r="B11" s="262" t="str">
        <x:v>5–11 October 2026</x:v>
      </x:c>
      <x:c r="C11" s="262" t="n">
        <x:f>COUNTIFS('All Issues'!$D$2:$D$17,A11,'All Issues'!$L$2:$L$17,"Resolved")</x:f>
        <x:v>5</x:v>
      </x:c>
      <x:c r="D11" s="263" t="n">
        <x:f>SUMIFS('All Issues'!$K$2:$K$17,'All Issues'!$D$2:$D$17,A11)/COUNTIFS('All Issues'!$D$2:$D$17,A11,'All Issues'!$K$2:$K$17,"&gt;=0")</x:f>
        <x:v>7.3533333333333335</x:v>
      </x:c>
      <x:c r="E11" s="262" t="n">
        <x:f>COUNTIFS('All Issues'!$D$2:$D$17,A11,'All Issues'!$J$2:$J$17,"Requester confirmed")</x:f>
        <x:v>3</x:v>
      </x:c>
      <x:c r="F11" s="204"/>
      <x:c r="G11" s="262" t="str">
        <x:v>Certificate configuration</x:v>
      </x:c>
      <x:c r="H11" s="262" t="n">
        <x:f>COUNTIFS('All Issues'!$E$2:$E$17,G11,'All Issues'!$L$2:$L$17,"Resolved")</x:f>
        <x:v>2</x:v>
      </x:c>
      <x:c r="I11" s="204"/>
      <x:c r="J11" s="204"/>
      <x:c r="K11" s="204"/>
      <x:c r="L11" s="204"/>
      <x:c r="M11" s="2"/>
      <x:c r="N11" s="2"/>
      <x:c r="O11" s="2"/>
    </x:row>
    <x:row r="12" ht="22" customHeight="1">
      <x:c r="A12" s="334" t="str">
        <x:v>Week 3</x:v>
      </x:c>
      <x:c r="B12" s="334" t="str">
        <x:v>12–18 October 2026</x:v>
      </x:c>
      <x:c r="C12" s="334" t="n">
        <x:f>COUNTIFS('All Issues'!$D$2:$D$17,A12,'All Issues'!$L$2:$L$17,"Resolved")</x:f>
        <x:v>5</x:v>
      </x:c>
      <x:c r="D12" s="338" t="n">
        <x:f>SUMIFS('All Issues'!$K$2:$K$17,'All Issues'!$D$2:$D$17,A12)/COUNTIFS('All Issues'!$D$2:$D$17,A12,'All Issues'!$K$2:$K$17,"&gt;=0")</x:f>
        <x:v>53.19666666666668</x:v>
      </x:c>
      <x:c r="E12" s="334" t="n">
        <x:f>COUNTIFS('All Issues'!$D$2:$D$17,A12,'All Issues'!$J$2:$J$17,"Requester confirmed")</x:f>
        <x:v>1</x:v>
      </x:c>
      <x:c r="F12" s="204"/>
      <x:c r="G12" s="334" t="str">
        <x:v>Certificate maintenance</x:v>
      </x:c>
      <x:c r="H12" s="334" t="n">
        <x:f>COUNTIFS('All Issues'!$E$2:$E$17,G12,'All Issues'!$L$2:$L$17,"Resolved")</x:f>
        <x:v>1</x:v>
      </x:c>
      <x:c r="I12" s="204"/>
      <x:c r="J12" s="204"/>
      <x:c r="K12" s="204"/>
      <x:c r="L12" s="204"/>
      <x:c r="M12" s="2"/>
      <x:c r="N12" s="2"/>
      <x:c r="O12" s="2"/>
    </x:row>
    <x:row r="13" ht="22" customHeight="1">
      <x:c r="A13" s="262" t="str">
        <x:v>Week 4</x:v>
      </x:c>
      <x:c r="B13" s="262" t="str">
        <x:v>19–25 October 2026</x:v>
      </x:c>
      <x:c r="C13" s="262" t="n">
        <x:f>COUNTIFS('All Issues'!$D$2:$D$17,A13,'All Issues'!$L$2:$L$17,"Resolved")</x:f>
        <x:v>2</x:v>
      </x:c>
      <x:c r="D13" s="263" t="n">
        <x:f>SUMIFS('All Issues'!$K$2:$K$17,'All Issues'!$D$2:$D$17,A13)/COUNTIFS('All Issues'!$D$2:$D$17,A13,'All Issues'!$K$2:$K$17,"&gt;=0")</x:f>
        <x:v>1.1083333333333334</x:v>
      </x:c>
      <x:c r="E13" s="262" t="n">
        <x:f>COUNTIFS('All Issues'!$D$2:$D$17,A13,'All Issues'!$J$2:$J$17,"Requester confirmed")</x:f>
        <x:v>2</x:v>
      </x:c>
      <x:c r="F13" s="204"/>
      <x:c r="G13" s="262" t="str">
        <x:v>Course configuration</x:v>
      </x:c>
      <x:c r="H13" s="262" t="n">
        <x:f>COUNTIFS('All Issues'!$E$2:$E$17,G13,'All Issues'!$L$2:$L$17,"Resolved")</x:f>
        <x:v>1</x:v>
      </x:c>
      <x:c r="I13" s="204"/>
      <x:c r="J13" s="204"/>
      <x:c r="K13" s="204"/>
      <x:c r="L13" s="204"/>
      <x:c r="M13" s="2"/>
      <x:c r="N13" s="2"/>
      <x:c r="O13" s="2"/>
    </x:row>
    <x:row r="14" ht="22" customHeight="1">
      <x:c r="A14" s="334" t="str">
        <x:v>Week 5</x:v>
      </x:c>
      <x:c r="B14" s="334" t="str">
        <x:v>26–31 October 2026</x:v>
      </x:c>
      <x:c r="C14" s="334" t="n">
        <x:f>COUNTIFS('All Issues'!$D$2:$D$17,A14,'All Issues'!$L$2:$L$17,"Resolved")</x:f>
        <x:v>3</x:v>
      </x:c>
      <x:c r="D14" s="338" t="n">
        <x:f>SUMIFS('All Issues'!$K$2:$K$17,'All Issues'!$D$2:$D$17,A14)/COUNTIFS('All Issues'!$D$2:$D$17,A14,'All Issues'!$K$2:$K$17,"&gt;=0")</x:f>
        <x:v>0.3222222222222222</x:v>
      </x:c>
      <x:c r="E14" s="334" t="n">
        <x:f>COUNTIFS('All Issues'!$D$2:$D$17,A14,'All Issues'!$J$2:$J$17,"Requester confirmed")</x:f>
        <x:v>1</x:v>
      </x:c>
      <x:c r="F14" s="204"/>
      <x:c r="G14" s="334" t="str">
        <x:v>Enrollment management</x:v>
      </x:c>
      <x:c r="H14" s="334" t="n">
        <x:f>COUNTIFS('All Issues'!$E$2:$E$17,G14,'All Issues'!$L$2:$L$17,"Resolved")</x:f>
        <x:v>1</x:v>
      </x:c>
      <x:c r="I14" s="204"/>
      <x:c r="J14" s="204"/>
      <x:c r="K14" s="204"/>
      <x:c r="L14" s="204"/>
      <x:c r="M14" s="2"/>
      <x:c r="N14" s="2"/>
      <x:c r="O14" s="2"/>
    </x:row>
    <x:row r="15" ht="22" customHeight="1">
      <x:c r="A15" s="204"/>
      <x:c r="B15" s="204"/>
      <x:c r="C15" s="204"/>
      <x:c r="D15" s="204"/>
      <x:c r="E15" s="204"/>
      <x:c r="F15" s="204"/>
      <x:c r="G15" s="262" t="str">
        <x:v>Learning activity behavior</x:v>
      </x:c>
      <x:c r="H15" s="262" t="n">
        <x:f>COUNTIFS('All Issues'!$E$2:$E$17,G15,'All Issues'!$L$2:$L$17,"Resolved")</x:f>
        <x:v>1</x:v>
      </x:c>
      <x:c r="I15" s="204"/>
      <x:c r="J15" s="204"/>
      <x:c r="K15" s="204"/>
      <x:c r="L15" s="204"/>
      <x:c r="M15" s="2"/>
      <x:c r="N15" s="2"/>
      <x:c r="O15" s="2"/>
    </x:row>
    <x:row r="16" ht="22" customHeight="1">
      <x:c r="A16" s="204"/>
      <x:c r="B16" s="204"/>
      <x:c r="C16" s="204"/>
      <x:c r="D16" s="204"/>
      <x:c r="E16" s="204"/>
      <x:c r="F16" s="204"/>
      <x:c r="G16" s="334" t="str">
        <x:v>Learning progress</x:v>
      </x:c>
      <x:c r="H16" s="334" t="n">
        <x:f>COUNTIFS('All Issues'!$E$2:$E$17,G16,'All Issues'!$L$2:$L$17,"Resolved")</x:f>
        <x:v>1</x:v>
      </x:c>
      <x:c r="I16" s="204"/>
      <x:c r="J16" s="204"/>
      <x:c r="K16" s="204"/>
      <x:c r="L16" s="204"/>
      <x:c r="M16" s="2"/>
      <x:c r="N16" s="2"/>
      <x:c r="O16" s="2"/>
    </x:row>
    <x:row r="17" ht="22" customHeight="1">
      <x:c r="A17" s="204"/>
      <x:c r="B17" s="204"/>
      <x:c r="C17" s="204"/>
      <x:c r="D17" s="204"/>
      <x:c r="E17" s="204"/>
      <x:c r="F17" s="204"/>
      <x:c r="G17" s="262" t="str">
        <x:v>Platform administration</x:v>
      </x:c>
      <x:c r="H17" s="262" t="n">
        <x:f>COUNTIFS('All Issues'!$E$2:$E$17,G17,'All Issues'!$L$2:$L$17,"Resolved")</x:f>
        <x:v>1</x:v>
      </x:c>
      <x:c r="I17" s="204"/>
      <x:c r="J17" s="204"/>
      <x:c r="K17" s="204"/>
      <x:c r="L17" s="204"/>
      <x:c r="M17" s="2"/>
      <x:c r="N17" s="2"/>
      <x:c r="O17" s="2"/>
    </x:row>
    <x:row r="18" ht="22" customHeight="1">
      <x:c r="A18" s="204"/>
      <x:c r="B18" s="204"/>
      <x:c r="C18" s="204"/>
      <x:c r="D18" s="204"/>
      <x:c r="E18" s="204"/>
      <x:c r="F18" s="204"/>
      <x:c r="G18" s="334" t="str">
        <x:v>Platform availability</x:v>
      </x:c>
      <x:c r="H18" s="334" t="n">
        <x:f>COUNTIFS('All Issues'!$E$2:$E$17,G18,'All Issues'!$L$2:$L$17,"Resolved")</x:f>
        <x:v>1</x:v>
      </x:c>
      <x:c r="I18" s="204"/>
      <x:c r="J18" s="204"/>
      <x:c r="K18" s="204"/>
      <x:c r="L18" s="204"/>
      <x:c r="M18" s="2"/>
      <x:c r="N18" s="2"/>
      <x:c r="O18" s="2"/>
    </x:row>
    <x:row r="19" ht="22" customHeight="1">
      <x:c r="A19" s="204"/>
      <x:c r="B19" s="204"/>
      <x:c r="C19" s="204"/>
      <x:c r="D19" s="204"/>
      <x:c r="E19" s="204"/>
      <x:c r="F19" s="204"/>
      <x:c r="G19" s="262" t="str">
        <x:v>Platform issue fixes</x:v>
      </x:c>
      <x:c r="H19" s="262" t="n">
        <x:f>COUNTIFS('All Issues'!$E$2:$E$17,G19,'All Issues'!$L$2:$L$17,"Resolved")</x:f>
        <x:v>1</x:v>
      </x:c>
      <x:c r="I19" s="204"/>
      <x:c r="J19" s="204"/>
      <x:c r="K19" s="204"/>
      <x:c r="L19" s="204"/>
      <x:c r="M19" s="2"/>
      <x:c r="N19" s="2"/>
      <x:c r="O19" s="2"/>
    </x:row>
    <x:row r="20" ht="22" customHeight="1">
      <x:c r="A20" s="204"/>
      <x:c r="B20" s="204"/>
      <x:c r="C20" s="204"/>
      <x:c r="D20" s="204"/>
      <x:c r="E20" s="204"/>
      <x:c r="F20" s="204"/>
      <x:c r="G20" s="334" t="str">
        <x:v>Student account issue</x:v>
      </x:c>
      <x:c r="H20" s="334" t="n">
        <x:f>COUNTIFS('All Issues'!$E$2:$E$17,G20,'All Issues'!$L$2:$L$17,"Resolved")</x:f>
        <x:v>2</x:v>
      </x:c>
      <x:c r="I20" s="204"/>
      <x:c r="J20" s="204"/>
      <x:c r="K20" s="204"/>
      <x:c r="L20" s="204"/>
      <x:c r="M20" s="2"/>
      <x:c r="N20" s="2"/>
      <x:c r="O20" s="2"/>
    </x:row>
    <x:row r="21" ht="22" customHeight="1">
      <x:c r="A21" s="204"/>
      <x:c r="B21" s="204"/>
      <x:c r="C21" s="204"/>
      <x:c r="D21" s="204"/>
      <x:c r="E21" s="204"/>
      <x:c r="F21" s="204"/>
      <x:c r="G21" s="262" t="str">
        <x:v>Student data update</x:v>
      </x:c>
      <x:c r="H21" s="262" t="n">
        <x:f>COUNTIFS('All Issues'!$E$2:$E$17,G21,'All Issues'!$L$2:$L$17,"Resolved")</x:f>
        <x:v>1</x:v>
      </x:c>
      <x:c r="I21" s="204"/>
      <x:c r="J21" s="204"/>
      <x:c r="K21" s="204"/>
      <x:c r="L21" s="204"/>
      <x:c r="M21" s="2"/>
      <x:c r="N21" s="2"/>
      <x:c r="O21" s="2"/>
    </x:row>
    <x:row r="22" ht="22" customHeight="1">
      <x:c r="A22" s="204"/>
      <x:c r="B22" s="204"/>
      <x:c r="C22" s="204"/>
      <x:c r="D22" s="204"/>
      <x:c r="E22" s="204"/>
      <x:c r="F22" s="204"/>
      <x:c r="G22" s="334" t="str">
        <x:v>User and account lookup</x:v>
      </x:c>
      <x:c r="H22" s="334" t="n">
        <x:f>COUNTIFS('All Issues'!$E$2:$E$17,G22,'All Issues'!$L$2:$L$17,"Resolved")</x:f>
        <x:v>1</x:v>
      </x:c>
      <x:c r="I22" s="204"/>
      <x:c r="J22" s="204"/>
      <x:c r="K22" s="204"/>
      <x:c r="L22" s="204"/>
      <x:c r="M22" s="2"/>
      <x:c r="N22" s="2"/>
      <x:c r="O22" s="2"/>
    </x:row>
    <x:row r="23" ht="29" customHeight="1">
      <x:c r="A23" s="318" t="str">
        <x:v>Resolved issue register</x:v>
      </x:c>
      <x:c r="B23" s="318"/>
      <x:c r="C23" s="318"/>
      <x:c r="D23" s="318"/>
      <x:c r="E23" s="318"/>
      <x:c r="F23" s="318"/>
      <x:c r="G23" s="318"/>
      <x:c r="H23" s="318"/>
      <x:c r="I23" s="318"/>
      <x:c r="J23" s="318"/>
      <x:c r="K23" s="318"/>
      <x:c r="L23" s="318"/>
      <x:c r="M23" s="2"/>
      <x:c r="N23" s="2"/>
      <x:c r="O23" s="2"/>
    </x:row>
    <x:row r="24" ht="38" customHeight="1">
      <x:c r="A24" s="348" t="str">
        <x:v>Issue ID</x:v>
      </x:c>
      <x:c r="B24" s="349" t="str">
        <x:v>Reported at (IST)</x:v>
      </x:c>
      <x:c r="C24" s="349" t="str">
        <x:v>Resolved at (IST)</x:v>
      </x:c>
      <x:c r="D24" s="349" t="str">
        <x:v>Week</x:v>
      </x:c>
      <x:c r="E24" s="349" t="str">
        <x:v>Category</x:v>
      </x:c>
      <x:c r="F24" s="349" t="str">
        <x:v>Issue or request</x:v>
      </x:c>
      <x:c r="G24" s="349" t="str">
        <x:v>Resolution</x:v>
      </x:c>
      <x:c r="H24" s="349" t="str">
        <x:v>Requested by</x:v>
      </x:c>
      <x:c r="I24" s="349" t="str">
        <x:v>Resolved by</x:v>
      </x:c>
      <x:c r="J24" s="349" t="str">
        <x:v>Evidence</x:v>
      </x:c>
      <x:c r="K24" s="349" t="str">
        <x:v>Turnaround (hours)</x:v>
      </x:c>
      <x:c r="L24" s="350" t="str">
        <x:v>Status</x:v>
      </x:c>
      <x:c r="M24" s="2"/>
      <x:c r="N24" s="2"/>
      <x:c r="O24" s="2"/>
    </x:row>
    <x:row r="25" ht="59" customHeight="1">
      <x:c r="A25" s="382" t="str">
        <x:v>OP-2026-10-001</x:v>
      </x:c>
      <x:c r="B25" s="264" t="d">
        <x:v>2026-10-01T06:45:00.000Z</x:v>
      </x:c>
      <x:c r="C25" s="264" t="d">
        <x:v>2026-10-01T09:31:00.000Z</x:v>
      </x:c>
      <x:c r="D25" s="260" t="str">
        <x:v>Week 1</x:v>
      </x:c>
      <x:c r="E25" s="265" t="str">
        <x:v>Platform administration</x:v>
      </x:c>
      <x:c r="F25" s="265" t="str">
        <x:v>Delete training calendars for three specified cohort IDs.</x:v>
      </x:c>
      <x:c r="G25" s="265" t="str">
        <x:v>The requestor confirmed that the calendar issue was resolved.</x:v>
      </x:c>
      <x:c r="H25" s="265" t="str">
        <x:v>Ganesh Maddi</x:v>
      </x:c>
      <x:c r="I25" s="265" t="str">
        <x:v>Seshu M</x:v>
      </x:c>
      <x:c r="J25" s="388" t="str">
        <x:v>Requester confirmed</x:v>
      </x:c>
      <x:c r="K25" s="364" t="n">
        <x:v>2.7666666666666666</x:v>
      </x:c>
      <x:c r="L25" s="365" t="str">
        <x:v>Resolved</x:v>
      </x:c>
      <x:c r="M25" s="2"/>
      <x:c r="N25" s="2"/>
      <x:c r="O25" s="2"/>
    </x:row>
    <x:row r="26" ht="59" customHeight="1">
      <x:c r="A26" s="383" t="str">
        <x:v>OP-2026-10-002</x:v>
      </x:c>
      <x:c r="B26" s="355"/>
      <x:c r="C26" s="355" t="d">
        <x:v>2026-10-05T07:24:00.000Z</x:v>
      </x:c>
      <x:c r="D26" s="354" t="str">
        <x:v>Week 2</x:v>
      </x:c>
      <x:c r="E26" s="356" t="str">
        <x:v>Certificate configuration</x:v>
      </x:c>
      <x:c r="F26" s="356" t="str">
        <x:v>Add the St. Francis College for Women faculty-development certificate template to the Google company.</x:v>
      </x:c>
      <x:c r="G26" s="356" t="str">
        <x:v>The certificate template was added and the requestor later thanked the resolver.</x:v>
      </x:c>
      <x:c r="H26" s="356" t="str">
        <x:v>Akshitha M</x:v>
      </x:c>
      <x:c r="I26" s="356" t="str">
        <x:v>Sudireddy Pavan Krishna</x:v>
      </x:c>
      <x:c r="J26" s="389" t="str">
        <x:v>Requester confirmed</x:v>
      </x:c>
      <x:c r="K26" s="366"/>
      <x:c r="L26" s="367" t="str">
        <x:v>Resolved</x:v>
      </x:c>
      <x:c r="M26" s="2"/>
      <x:c r="N26" s="2"/>
      <x:c r="O26" s="2"/>
    </x:row>
    <x:row r="27" ht="59" customHeight="1">
      <x:c r="A27" s="384" t="str">
        <x:v>OP-2026-10-003</x:v>
      </x:c>
      <x:c r="B27" s="268" t="d">
        <x:v>2026-10-06T11:16:00.000Z</x:v>
      </x:c>
      <x:c r="C27" s="268" t="d">
        <x:v>2026-10-07T05:05:00.000Z</x:v>
      </x:c>
      <x:c r="D27" s="262" t="str">
        <x:v>Week 2</x:v>
      </x:c>
      <x:c r="E27" s="269" t="str">
        <x:v>User and account lookup</x:v>
      </x:c>
      <x:c r="F27" s="269" t="str">
        <x:v>Check whether a specified person existed in SmartInternz or SkillWallet.</x:v>
      </x:c>
      <x:c r="G27" s="269" t="str">
        <x:v>The team confirmed that the person was not present in either platform; the requestor acknowledged the result.</x:v>
      </x:c>
      <x:c r="H27" s="269" t="str">
        <x:v>Anjali Singh</x:v>
      </x:c>
      <x:c r="I27" s="269" t="str">
        <x:v>Sudireddy Pavan Krishna</x:v>
      </x:c>
      <x:c r="J27" s="390" t="str">
        <x:v>Requester confirmed</x:v>
      </x:c>
      <x:c r="K27" s="368" t="n">
        <x:v>17.816666666666666</x:v>
      </x:c>
      <x:c r="L27" s="369" t="str">
        <x:v>Resolved</x:v>
      </x:c>
      <x:c r="M27" s="2"/>
      <x:c r="N27" s="2"/>
      <x:c r="O27" s="2"/>
    </x:row>
    <x:row r="28" ht="59" customHeight="1">
      <x:c r="A28" s="383" t="str">
        <x:v>OP-2026-10-004</x:v>
      </x:c>
      <x:c r="B28" s="355" t="d">
        <x:v>2026-10-07T07:10:00.000Z</x:v>
      </x:c>
      <x:c r="C28" s="355" t="d">
        <x:v>2026-10-07T08:51:00.000Z</x:v>
      </x:c>
      <x:c r="D28" s="354" t="str">
        <x:v>Week 2</x:v>
      </x:c>
      <x:c r="E28" s="356" t="str">
        <x:v>Enrollment management</x:v>
      </x:c>
      <x:c r="F28" s="356" t="str">
        <x:v>Unassign the specified EL program from the students in the corrected data file.</x:v>
      </x:c>
      <x:c r="G28" s="356" t="str">
        <x:v>The requested enrollments were removed.</x:v>
      </x:c>
      <x:c r="H28" s="356" t="str">
        <x:v>Surampudi Vasanth / Ganesh Maddi</x:v>
      </x:c>
      <x:c r="I28" s="356" t="str">
        <x:v>Seshu M</x:v>
      </x:c>
      <x:c r="J28" s="389" t="str">
        <x:v>Resolver stated complete</x:v>
      </x:c>
      <x:c r="K28" s="366" t="n">
        <x:v>1.6833333333333333</x:v>
      </x:c>
      <x:c r="L28" s="367" t="str">
        <x:v>Resolved</x:v>
      </x:c>
      <x:c r="M28" s="2"/>
      <x:c r="N28" s="2"/>
      <x:c r="O28" s="2"/>
    </x:row>
    <x:row r="29" ht="59" customHeight="1">
      <x:c r="A29" s="384" t="str">
        <x:v>OP-2026-10-005</x:v>
      </x:c>
      <x:c r="B29" s="268" t="d">
        <x:v>2026-10-07T11:44:00.000Z</x:v>
      </x:c>
      <x:c r="C29" s="268" t="d">
        <x:v>2026-10-08T04:12:00.000Z</x:v>
      </x:c>
      <x:c r="D29" s="262" t="str">
        <x:v>Week 2</x:v>
      </x:c>
      <x:c r="E29" s="269" t="str">
        <x:v>Course configuration</x:v>
      </x:c>
      <x:c r="F29" s="269" t="str">
        <x:v>Remove Cloud Practitioner, Cybersecurity Analyst, Generative AI, and Vibe Coding from credit courses.</x:v>
      </x:c>
      <x:c r="G29" s="269" t="str">
        <x:v>The four credit courses were removed and sent for requestor verification.</x:v>
      </x:c>
      <x:c r="H29" s="269" t="str">
        <x:v>Anjali Singh</x:v>
      </x:c>
      <x:c r="I29" s="269" t="str">
        <x:v>Sudireddy Pavan Krishna</x:v>
      </x:c>
      <x:c r="J29" s="390" t="str">
        <x:v>Resolver stated complete</x:v>
      </x:c>
      <x:c r="K29" s="368" t="n">
        <x:v>16.466666666666665</x:v>
      </x:c>
      <x:c r="L29" s="369" t="str">
        <x:v>Resolved</x:v>
      </x:c>
      <x:c r="M29" s="2"/>
      <x:c r="N29" s="2"/>
      <x:c r="O29" s="2"/>
    </x:row>
    <x:row r="30" ht="59" customHeight="1">
      <x:c r="A30" s="383" t="str">
        <x:v>OP-2026-10-006</x:v>
      </x:c>
      <x:c r="B30" s="355" t="d">
        <x:v>2026-10-09T05:46:00.000Z</x:v>
      </x:c>
      <x:c r="C30" s="355" t="d">
        <x:v>2026-10-09T06:33:59.999Z</x:v>
      </x:c>
      <x:c r="D30" s="354" t="str">
        <x:v>Week 2</x:v>
      </x:c>
      <x:c r="E30" s="356" t="str">
        <x:v>Certificate maintenance</x:v>
      </x:c>
      <x:c r="F30" s="356" t="str">
        <x:v>Update certificate dates for 123 students to 15 June 2026 through 15 September 2026.</x:v>
      </x:c>
      <x:c r="G30" s="356" t="str">
        <x:v>The certificate dates were updated and the requestor confirmed with thanks.</x:v>
      </x:c>
      <x:c r="H30" s="356" t="str">
        <x:v>Akshitha M</x:v>
      </x:c>
      <x:c r="I30" s="356" t="str">
        <x:v>Seshu M</x:v>
      </x:c>
      <x:c r="J30" s="389" t="str">
        <x:v>Requester confirmed</x:v>
      </x:c>
      <x:c r="K30" s="366" t="n">
        <x:v>0.8</x:v>
      </x:c>
      <x:c r="L30" s="367" t="str">
        <x:v>Resolved</x:v>
      </x:c>
      <x:c r="M30" s="2"/>
      <x:c r="N30" s="2"/>
      <x:c r="O30" s="2"/>
    </x:row>
    <x:row r="31" ht="59" customHeight="1">
      <x:c r="A31" s="384" t="str">
        <x:v>OP-2026-10-007</x:v>
      </x:c>
      <x:c r="B31" s="268" t="d">
        <x:v>2026-10-10T18:12:00.000Z</x:v>
      </x:c>
      <x:c r="C31" s="268" t="d">
        <x:v>2026-10-12T08:32:59.999Z</x:v>
      </x:c>
      <x:c r="D31" s="262" t="str">
        <x:v>Week 3</x:v>
      </x:c>
      <x:c r="E31" s="269" t="str">
        <x:v>Platform issue fixes</x:v>
      </x:c>
      <x:c r="F31" s="269" t="str">
        <x:v>Resolve the SRM platform changes and issues listed in the shared Product tabs.</x:v>
      </x:c>
      <x:c r="G31" s="269" t="str">
        <x:v>The product team stated that the listed issues were fixed and asked Operations to verify.</x:v>
      </x:c>
      <x:c r="H31" s="269" t="str">
        <x:v>Anjali Singh</x:v>
      </x:c>
      <x:c r="I31" s="269" t="str">
        <x:v>Sudireddy Pavan Krishna</x:v>
      </x:c>
      <x:c r="J31" s="390" t="str">
        <x:v>Resolver stated complete</x:v>
      </x:c>
      <x:c r="K31" s="368" t="n">
        <x:v>38.35</x:v>
      </x:c>
      <x:c r="L31" s="369" t="str">
        <x:v>Resolved</x:v>
      </x:c>
      <x:c r="M31" s="2"/>
      <x:c r="N31" s="2"/>
      <x:c r="O31" s="2"/>
    </x:row>
    <x:row r="32" ht="59" customHeight="1">
      <x:c r="A32" s="383" t="str">
        <x:v>OP-2026-10-008</x:v>
      </x:c>
      <x:c r="B32" s="355" t="d">
        <x:v>2026-10-09T06:29:00.000Z</x:v>
      </x:c>
      <x:c r="C32" s="355" t="d">
        <x:v>2026-10-13T08:51:59.999Z</x:v>
      </x:c>
      <x:c r="D32" s="354" t="str">
        <x:v>Week 3</x:v>
      </x:c>
      <x:c r="E32" s="356" t="str">
        <x:v>Certificate configuration</x:v>
      </x:c>
      <x:c r="F32" s="356" t="str">
        <x:v>Add the requested certificate template to the Salesforce company.</x:v>
      </x:c>
      <x:c r="G32" s="356" t="str">
        <x:v>The template was added and the requestor later thanked the resolver.</x:v>
      </x:c>
      <x:c r="H32" s="356" t="str">
        <x:v>Akshitha M</x:v>
      </x:c>
      <x:c r="I32" s="356" t="str">
        <x:v>Sudireddy Pavan Krishna</x:v>
      </x:c>
      <x:c r="J32" s="389" t="str">
        <x:v>Requester confirmed</x:v>
      </x:c>
      <x:c r="K32" s="366" t="n">
        <x:v>98.38333333333334</x:v>
      </x:c>
      <x:c r="L32" s="367" t="str">
        <x:v>Resolved</x:v>
      </x:c>
      <x:c r="M32" s="2"/>
      <x:c r="N32" s="2"/>
      <x:c r="O32" s="2"/>
    </x:row>
    <x:row r="33" ht="59" customHeight="1">
      <x:c r="A33" s="384" t="str">
        <x:v>OP-2026-10-009</x:v>
      </x:c>
      <x:c r="B33" s="268" t="d">
        <x:v>2026-10-09T10:11:00.000Z</x:v>
      </x:c>
      <x:c r="C33" s="268" t="d">
        <x:v>2026-10-14T09:44:00.000Z</x:v>
      </x:c>
      <x:c r="D33" s="262" t="str">
        <x:v>Week 3</x:v>
      </x:c>
      <x:c r="E33" s="269" t="str">
        <x:v>Assessment generation</x:v>
      </x:c>
      <x:c r="F33" s="269" t="str">
        <x:v>Assessment generation failed for the Prompt Engineering topic in AI Fundamentals and Python Programming.</x:v>
      </x:c>
      <x:c r="G33" s="269" t="str">
        <x:v>The assessment-generation flow was checked and verified as working correctly.</x:v>
      </x:c>
      <x:c r="H33" s="269" t="str">
        <x:v>Ganesh Maddi</x:v>
      </x:c>
      <x:c r="I33" s="269" t="str">
        <x:v>Mahesh Mallareddy</x:v>
      </x:c>
      <x:c r="J33" s="390" t="str">
        <x:v>Verified working</x:v>
      </x:c>
      <x:c r="K33" s="368" t="n">
        <x:v>119.55</x:v>
      </x:c>
      <x:c r="L33" s="369" t="str">
        <x:v>Resolved</x:v>
      </x:c>
      <x:c r="M33" s="2"/>
      <x:c r="N33" s="2"/>
      <x:c r="O33" s="2"/>
    </x:row>
    <x:row r="34" ht="59" customHeight="1">
      <x:c r="A34" s="383" t="str">
        <x:v>OP-2026-10-010</x:v>
      </x:c>
      <x:c r="B34" s="355" t="d">
        <x:v>2026-10-15T06:38:00.000Z</x:v>
      </x:c>
      <x:c r="C34" s="355" t="d">
        <x:v>2026-10-15T11:29:00.000Z</x:v>
      </x:c>
      <x:c r="D34" s="354" t="str">
        <x:v>Week 3</x:v>
      </x:c>
      <x:c r="E34" s="356" t="str">
        <x:v>Learning activity behavior</x:v>
      </x:c>
      <x:c r="F34" s="356" t="str">
        <x:v>Flashcard results were expected after completion but were not displayed.</x:v>
      </x:c>
      <x:c r="G34" s="356" t="str">
        <x:v>The team clarified that flashcards do not produce a results view; this was expected behavior.</x:v>
      </x:c>
      <x:c r="H34" s="356" t="str">
        <x:v>Ganesh Maddi</x:v>
      </x:c>
      <x:c r="I34" s="356" t="str">
        <x:v>Vegina Pranathi</x:v>
      </x:c>
      <x:c r="J34" s="389" t="str">
        <x:v>Resolved by clarification</x:v>
      </x:c>
      <x:c r="K34" s="366" t="n">
        <x:v>4.85</x:v>
      </x:c>
      <x:c r="L34" s="367" t="str">
        <x:v>Resolved</x:v>
      </x:c>
      <x:c r="M34" s="2"/>
      <x:c r="N34" s="2"/>
      <x:c r="O34" s="2"/>
    </x:row>
    <x:row r="35" ht="59" customHeight="1">
      <x:c r="A35" s="384" t="str">
        <x:v>OP-2026-10-011</x:v>
      </x:c>
      <x:c r="B35" s="268" t="d">
        <x:v>2026-10-15T06:38:00.000Z</x:v>
      </x:c>
      <x:c r="C35" s="268" t="d">
        <x:v>2026-10-15T11:29:00.000Z</x:v>
      </x:c>
      <x:c r="D35" s="262" t="str">
        <x:v>Week 3</x:v>
      </x:c>
      <x:c r="E35" s="269" t="str">
        <x:v>Learning progress</x:v>
      </x:c>
      <x:c r="F35" s="269" t="str">
        <x:v>Lab progress remained below 100% after deliverables were completed.</x:v>
      </x:c>
      <x:c r="G35" s="269" t="str">
        <x:v>The team explained the 90% deliverables and 10% viva weighting and confirmed that the student had not passed the viva.</x:v>
      </x:c>
      <x:c r="H35" s="269" t="str">
        <x:v>Ganesh Maddi</x:v>
      </x:c>
      <x:c r="I35" s="269" t="str">
        <x:v>Seshu M / Vegina Pranathi</x:v>
      </x:c>
      <x:c r="J35" s="390" t="str">
        <x:v>Resolved by clarification</x:v>
      </x:c>
      <x:c r="K35" s="368" t="n">
        <x:v>4.85</x:v>
      </x:c>
      <x:c r="L35" s="369" t="str">
        <x:v>Resolved</x:v>
      </x:c>
      <x:c r="M35" s="2"/>
      <x:c r="N35" s="2"/>
      <x:c r="O35" s="2"/>
    </x:row>
    <x:row r="36" ht="59" customHeight="1">
      <x:c r="A36" s="383" t="str">
        <x:v>OP-2026-10-012</x:v>
      </x:c>
      <x:c r="B36" s="355" t="d">
        <x:v>2026-10-22T07:33:00.000Z</x:v>
      </x:c>
      <x:c r="C36" s="355" t="d">
        <x:v>2026-10-22T09:10:00.000Z</x:v>
      </x:c>
      <x:c r="D36" s="354" t="str">
        <x:v>Week 4</x:v>
      </x:c>
      <x:c r="E36" s="356" t="str">
        <x:v>Platform availability</x:v>
      </x:c>
      <x:c r="F36" s="356" t="str">
        <x:v>Troven was not working for the Operations user.</x:v>
      </x:c>
      <x:c r="G36" s="356" t="str">
        <x:v>After the team intervention, the requestor confirmed that Troven was working.</x:v>
      </x:c>
      <x:c r="H36" s="356" t="str">
        <x:v>Gautami Girikala</x:v>
      </x:c>
      <x:c r="I36" s="356" t="str">
        <x:v>Sandeep Doodigani</x:v>
      </x:c>
      <x:c r="J36" s="389" t="str">
        <x:v>Requester confirmed</x:v>
      </x:c>
      <x:c r="K36" s="366" t="n">
        <x:v>1.6166666666666667</x:v>
      </x:c>
      <x:c r="L36" s="367" t="str">
        <x:v>Resolved</x:v>
      </x:c>
      <x:c r="M36" s="2"/>
      <x:c r="N36" s="2"/>
      <x:c r="O36" s="2"/>
    </x:row>
    <x:row r="37" ht="59" customHeight="1">
      <x:c r="A37" s="384" t="str">
        <x:v>OP-2026-10-013</x:v>
      </x:c>
      <x:c r="B37" s="268" t="d">
        <x:v>2026-10-24T11:14:00.000Z</x:v>
      </x:c>
      <x:c r="C37" s="268" t="d">
        <x:v>2026-10-24T11:50:00.000Z</x:v>
      </x:c>
      <x:c r="D37" s="262" t="str">
        <x:v>Week 4</x:v>
      </x:c>
      <x:c r="E37" s="269" t="str">
        <x:v>Assessment generation</x:v>
      </x:c>
      <x:c r="F37" s="269" t="str">
        <x:v>SRM students were unable to generate an assessment.</x:v>
      </x:c>
      <x:c r="G37" s="269" t="str">
        <x:v>The assessment flow was restored; the resolver asked Operations to check and the requestor confirmed with thanks.</x:v>
      </x:c>
      <x:c r="H37" s="269" t="str">
        <x:v>Akshitha M</x:v>
      </x:c>
      <x:c r="I37" s="269" t="str">
        <x:v>Vegina Pranathi</x:v>
      </x:c>
      <x:c r="J37" s="390" t="str">
        <x:v>Requester confirmed</x:v>
      </x:c>
      <x:c r="K37" s="368" t="n">
        <x:v>0.6</x:v>
      </x:c>
      <x:c r="L37" s="369" t="str">
        <x:v>Resolved</x:v>
      </x:c>
      <x:c r="M37" s="2"/>
      <x:c r="N37" s="2"/>
      <x:c r="O37" s="2"/>
    </x:row>
    <x:row r="38" ht="59" customHeight="1">
      <x:c r="A38" s="383" t="str">
        <x:v>OP-2026-10-014</x:v>
      </x:c>
      <x:c r="B38" s="355" t="d">
        <x:v>2026-10-26T04:30:00.000Z</x:v>
      </x:c>
      <x:c r="C38" s="355" t="d">
        <x:v>2026-10-26T05:03:59.999Z</x:v>
      </x:c>
      <x:c r="D38" s="354" t="str">
        <x:v>Week 5</x:v>
      </x:c>
      <x:c r="E38" s="356" t="str">
        <x:v>Student account issue</x:v>
      </x:c>
      <x:c r="F38" s="356" t="str">
        <x:v>Resolve a KIET student issue reported with an attached screenshot.</x:v>
      </x:c>
      <x:c r="G38" s="356" t="str">
        <x:v>The resolver stated that the issue was resolved and asked Operations to verify.</x:v>
      </x:c>
      <x:c r="H38" s="356" t="str">
        <x:v>Ganesh Maddi</x:v>
      </x:c>
      <x:c r="I38" s="356" t="str">
        <x:v>Vegina Pranathi</x:v>
      </x:c>
      <x:c r="J38" s="389" t="str">
        <x:v>Resolver stated complete</x:v>
      </x:c>
      <x:c r="K38" s="366" t="n">
        <x:v>0.5666666666666667</x:v>
      </x:c>
      <x:c r="L38" s="367" t="str">
        <x:v>Resolved</x:v>
      </x:c>
      <x:c r="M38" s="2"/>
      <x:c r="N38" s="2"/>
      <x:c r="O38" s="2"/>
    </x:row>
    <x:row r="39" ht="59" customHeight="1">
      <x:c r="A39" s="384" t="str">
        <x:v>OP-2026-10-015</x:v>
      </x:c>
      <x:c r="B39" s="268" t="d">
        <x:v>2026-10-27T05:28:00.000Z</x:v>
      </x:c>
      <x:c r="C39" s="268" t="d">
        <x:v>2026-10-27T05:44:00.000Z</x:v>
      </x:c>
      <x:c r="D39" s="262" t="str">
        <x:v>Week 5</x:v>
      </x:c>
      <x:c r="E39" s="269" t="str">
        <x:v>Student data update</x:v>
      </x:c>
      <x:c r="F39" s="269" t="str">
        <x:v>Update student last names for the EL programme at Medicaps College using the supplied file.</x:v>
      </x:c>
      <x:c r="G39" s="269" t="str">
        <x:v>The student data was updated and returned to Operations for verification.</x:v>
      </x:c>
      <x:c r="H39" s="269" t="str">
        <x:v>Khushi Gupta</x:v>
      </x:c>
      <x:c r="I39" s="269" t="str">
        <x:v>Seshu M</x:v>
      </x:c>
      <x:c r="J39" s="390" t="str">
        <x:v>Resolver stated complete</x:v>
      </x:c>
      <x:c r="K39" s="368" t="n">
        <x:v>0.26666666666666666</x:v>
      </x:c>
      <x:c r="L39" s="369" t="str">
        <x:v>Resolved</x:v>
      </x:c>
      <x:c r="M39" s="2"/>
      <x:c r="N39" s="2"/>
      <x:c r="O39" s="2"/>
    </x:row>
    <x:row r="40" ht="59" customHeight="1">
      <x:c r="A40" s="383" t="str">
        <x:v>OP-2026-10-016</x:v>
      </x:c>
      <x:c r="B40" s="355" t="d">
        <x:v>2026-10-27T09:25:00.000Z</x:v>
      </x:c>
      <x:c r="C40" s="355" t="d">
        <x:v>2026-10-27T09:33:00.000Z</x:v>
      </x:c>
      <x:c r="D40" s="354" t="str">
        <x:v>Week 5</x:v>
      </x:c>
      <x:c r="E40" s="356" t="str">
        <x:v>Student account issue</x:v>
      </x:c>
      <x:c r="F40" s="356" t="str">
        <x:v>A student could not log in and the error was reported as user not found.</x:v>
      </x:c>
      <x:c r="G40" s="356" t="str">
        <x:v>The account was confirmed active. The team identified the behavior as a wrong-password case and advised the forgot-password flow; the requestor acknowledged the guidance.</x:v>
      </x:c>
      <x:c r="H40" s="356" t="str">
        <x:v>Khushi Gupta</x:v>
      </x:c>
      <x:c r="I40" s="356" t="str">
        <x:v>Seshu M</x:v>
      </x:c>
      <x:c r="J40" s="389" t="str">
        <x:v>Requester confirmed</x:v>
      </x:c>
      <x:c r="K40" s="366" t="n">
        <x:v>0.13333333333333333</x:v>
      </x:c>
      <x:c r="L40" s="367" t="str">
        <x:v>Resolved</x:v>
      </x:c>
      <x:c r="M40" s="2"/>
      <x:c r="N40" s="2"/>
      <x:c r="O40" s="2"/>
    </x:row>
    <x:row r="41" ht="22" customHeight="1">
      <x:c r="A41" s="204"/>
      <x:c r="B41" s="204"/>
      <x:c r="C41" s="204"/>
      <x:c r="D41" s="204"/>
      <x:c r="E41" s="204"/>
      <x:c r="F41" s="204"/>
      <x:c r="G41" s="204"/>
      <x:c r="H41" s="204"/>
      <x:c r="I41" s="204"/>
      <x:c r="J41" s="204"/>
      <x:c r="K41" s="204"/>
      <x:c r="L41" s="204"/>
      <x:c r="M41" s="2"/>
      <x:c r="N41" s="2"/>
      <x:c r="O41" s="2"/>
    </x:row>
    <x:row r="42" ht="46" customHeight="1">
      <x:c r="A42" s="340" t="str">
        <x:v>Scope note: only messages with clear completion, a working-state confirmation, or a resolution-by-clarification are included. Unverified items, routine announcements, credentials, and personal identifiers were excluded or masked.</x:v>
      </x:c>
      <x:c r="B42" s="340"/>
      <x:c r="C42" s="340"/>
      <x:c r="D42" s="340"/>
      <x:c r="E42" s="340"/>
      <x:c r="F42" s="340"/>
      <x:c r="G42" s="340"/>
      <x:c r="H42" s="340"/>
      <x:c r="I42" s="340"/>
      <x:c r="J42" s="340"/>
      <x:c r="K42" s="340"/>
      <x:c r="L42" s="340"/>
      <x:c r="M42" s="2"/>
      <x:c r="N42" s="2"/>
      <x:c r="O42" s="2"/>
    </x:row>
    <x:row r="43">
      <x:c r="A43" s="50"/>
      <x:c r="B43" s="50"/>
      <x:c r="C43" s="50"/>
      <x:c r="D43" s="50"/>
      <x:c r="E43" s="50"/>
      <x:c r="F43" s="50"/>
      <x:c r="G43" s="50"/>
      <x:c r="H43" s="50"/>
      <x:c r="I43" s="50"/>
      <x:c r="J43" s="50"/>
      <x:c r="K43" s="50"/>
      <x:c r="L43" s="50"/>
      <x:c r="M43" s="2"/>
      <x:c r="N43" s="2"/>
      <x:c r="O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</x:row>
  </x:sheetData>
  <x:mergeCells>
    <x:mergeCell ref="A2:L2"/>
    <x:mergeCell ref="A5:B5"/>
    <x:mergeCell ref="C5:D5"/>
    <x:mergeCell ref="E5:F5"/>
    <x:mergeCell ref="G5:H5"/>
    <x:mergeCell ref="A6:B6"/>
    <x:mergeCell ref="C6:D6"/>
    <x:mergeCell ref="E6:F6"/>
    <x:mergeCell ref="G6:H6"/>
    <x:mergeCell ref="A8:E8"/>
    <x:mergeCell ref="G8:H8"/>
    <x:mergeCell ref="A23:L23"/>
    <x:mergeCell ref="A42:L43"/>
  </x:mergeCells>
  <x:conditionalFormatting sqref="J25:J40">
    <x:cfRule type="containsText" dxfId="0" priority="1" operator="containsText" text="Requester confirmed"/>
    <x:cfRule type="containsText" dxfId="1" priority="2" operator="containsText" text="Resolver stated complete"/>
    <x:cfRule type="containsText" dxfId="2" priority="3" operator="containsText" text="Resolved by clarification"/>
    <x:cfRule type="containsText" dxfId="3" priority="4" operator="containsText" text="Verified working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22" hidden="0" customWidth="1"/>
    <x:col min="2" max="2" width="25" hidden="0" customWidth="1"/>
    <x:col min="3" max="3" width="25" hidden="0" customWidth="1"/>
    <x:col min="4" max="4" width="28" hidden="0" customWidth="1"/>
    <x:col min="5" max="5" width="57" hidden="0" customWidth="1"/>
    <x:col min="6" max="6" width="66" hidden="0" customWidth="1"/>
    <x:col min="7" max="7" width="23" hidden="0" customWidth="1"/>
    <x:col min="8" max="8" width="24" hidden="0" customWidth="1"/>
    <x:col min="9" max="9" width="25" hidden="0" customWidth="1"/>
    <x:col min="10" max="10" width="21" hidden="0" customWidth="1"/>
    <x:col min="11" max="11" width="64" hidden="0" customWidth="1"/>
  </x:cols>
  <x:sheetData>
    <x:row r="1" ht="22" customHeight="1">
      <x:c r="A1" s="204"/>
      <x:c r="B1" s="204"/>
      <x:c r="C1" s="204"/>
      <x:c r="D1" s="204"/>
      <x:c r="E1" s="204"/>
      <x:c r="F1" s="204"/>
      <x:c r="G1" s="204"/>
      <x:c r="H1" s="204"/>
      <x:c r="I1" s="204"/>
      <x:c r="J1" s="204"/>
      <x:c r="K1" s="204"/>
      <x:c r="L1" s="2"/>
      <x:c r="M1" s="2"/>
      <x:c r="N1" s="2"/>
      <x:c r="O1" s="2"/>
    </x:row>
    <x:row r="2" ht="36" customHeight="1">
      <x:c r="A2" s="418" t="str">
        <x:v>Operations issues resolved — Week 1</x:v>
      </x:c>
      <x:c r="B2" s="418"/>
      <x:c r="C2" s="418"/>
      <x:c r="D2" s="418"/>
      <x:c r="E2" s="418"/>
      <x:c r="F2" s="418"/>
      <x:c r="G2" s="418"/>
      <x:c r="H2" s="418"/>
      <x:c r="I2" s="418"/>
      <x:c r="J2" s="418"/>
      <x:c r="K2" s="418"/>
      <x:c r="L2" s="2"/>
      <x:c r="M2" s="2"/>
      <x:c r="N2" s="2"/>
      <x:c r="O2" s="2"/>
    </x:row>
    <x:row r="3" ht="22" customHeight="1">
      <x:c r="A3" s="288" t="str">
        <x:v>1–4 October 2026 | Asia/Kolkata</x:v>
      </x:c>
      <x:c r="B3" s="289"/>
      <x:c r="C3" s="289"/>
      <x:c r="D3" s="289"/>
      <x:c r="E3" s="289"/>
      <x:c r="F3" s="289"/>
      <x:c r="G3" s="289"/>
      <x:c r="H3" s="289"/>
      <x:c r="I3" s="289"/>
      <x:c r="J3" s="289"/>
      <x:c r="K3" s="289"/>
      <x:c r="L3" s="2"/>
      <x:c r="M3" s="2"/>
      <x:c r="N3" s="2"/>
      <x:c r="O3" s="2"/>
    </x:row>
    <x:row r="4" ht="22" customHeight="1">
      <x:c r="A4" s="207"/>
      <x:c r="B4" s="207"/>
      <x:c r="C4" s="207"/>
      <x:c r="D4" s="207"/>
      <x:c r="E4" s="207"/>
      <x:c r="F4" s="207"/>
      <x:c r="G4" s="207"/>
      <x:c r="H4" s="207"/>
      <x:c r="I4" s="207"/>
      <x:c r="J4" s="207"/>
      <x:c r="K4" s="207"/>
      <x:c r="L4" s="5"/>
      <x:c r="M4" s="2"/>
      <x:c r="N4" s="2"/>
      <x:c r="O4" s="2"/>
    </x:row>
    <x:row r="5" ht="22" customHeight="1">
      <x:c r="A5" s="422" t="str">
        <x:v>Resolved items</x:v>
      </x:c>
      <x:c r="B5" s="422"/>
      <x:c r="C5" s="422" t="str">
        <x:v>Median turnaround (hours)</x:v>
      </x:c>
      <x:c r="D5" s="422"/>
      <x:c r="E5" s="204"/>
      <x:c r="F5" s="204"/>
      <x:c r="G5" s="204"/>
      <x:c r="H5" s="204"/>
      <x:c r="I5" s="204"/>
      <x:c r="J5" s="204"/>
      <x:c r="K5" s="204"/>
      <x:c r="L5" s="2"/>
      <x:c r="M5" s="2"/>
      <x:c r="N5" s="2"/>
      <x:c r="O5" s="2"/>
    </x:row>
    <x:row r="6" ht="22" customHeight="1">
      <x:c r="A6" s="426" t="n">
        <x:v>1</x:v>
      </x:c>
      <x:c r="B6" s="409"/>
      <x:c r="C6" s="430" t="n">
        <x:v>2.7666666666666666</x:v>
      </x:c>
      <x:c r="D6" s="410"/>
      <x:c r="E6" s="204"/>
      <x:c r="F6" s="204"/>
      <x:c r="G6" s="204"/>
      <x:c r="H6" s="204"/>
      <x:c r="I6" s="204"/>
      <x:c r="J6" s="204"/>
      <x:c r="K6" s="204"/>
      <x:c r="L6" s="2"/>
      <x:c r="M6" s="2"/>
      <x:c r="N6" s="2"/>
      <x:c r="O6" s="2"/>
    </x:row>
    <x:row r="7" ht="22" customHeight="1">
      <x:c r="A7" s="204"/>
      <x:c r="B7" s="204"/>
      <x:c r="C7" s="204"/>
      <x:c r="D7" s="204"/>
      <x:c r="E7" s="204"/>
      <x:c r="F7" s="204"/>
      <x:c r="G7" s="204"/>
      <x:c r="H7" s="204"/>
      <x:c r="I7" s="204"/>
      <x:c r="J7" s="204"/>
      <x:c r="K7" s="204"/>
      <x:c r="L7" s="2"/>
      <x:c r="M7" s="2"/>
      <x:c r="N7" s="2"/>
      <x:c r="O7" s="2"/>
    </x:row>
    <x:row r="8" ht="38" customHeight="1">
      <x:c r="A8" s="348" t="str">
        <x:v>Issue ID</x:v>
      </x:c>
      <x:c r="B8" s="349" t="str">
        <x:v>Reported at (IST)</x:v>
      </x:c>
      <x:c r="C8" s="349" t="str">
        <x:v>Resolved at (IST)</x:v>
      </x:c>
      <x:c r="D8" s="349" t="str">
        <x:v>Category</x:v>
      </x:c>
      <x:c r="E8" s="349" t="str">
        <x:v>Issue or request</x:v>
      </x:c>
      <x:c r="F8" s="349" t="str">
        <x:v>Resolution</x:v>
      </x:c>
      <x:c r="G8" s="349" t="str">
        <x:v>Requested by</x:v>
      </x:c>
      <x:c r="H8" s="349" t="str">
        <x:v>Resolved by</x:v>
      </x:c>
      <x:c r="I8" s="349" t="str">
        <x:v>Evidence</x:v>
      </x:c>
      <x:c r="J8" s="349" t="str">
        <x:v>Turnaround (hours)</x:v>
      </x:c>
      <x:c r="K8" s="350" t="str">
        <x:v>Source</x:v>
      </x:c>
      <x:c r="L8" s="2"/>
      <x:c r="M8" s="2"/>
      <x:c r="N8" s="2"/>
      <x:c r="O8" s="2"/>
    </x:row>
    <x:row r="9" ht="66" customHeight="1">
      <x:c r="A9" s="382" t="str">
        <x:v>OP-2026-10-001</x:v>
      </x:c>
      <x:c r="B9" s="264" t="d">
        <x:v>2026-10-01T06:45:00.000Z</x:v>
      </x:c>
      <x:c r="C9" s="264" t="d">
        <x:v>2026-10-01T09:31:00.000Z</x:v>
      </x:c>
      <x:c r="D9" s="265" t="str">
        <x:v>Platform administration</x:v>
      </x:c>
      <x:c r="E9" s="265" t="str">
        <x:v>Delete training calendars for three specified cohort IDs.</x:v>
      </x:c>
      <x:c r="F9" s="265" t="str">
        <x:v>The requestor confirmed that the calendar issue was resolved.</x:v>
      </x:c>
      <x:c r="G9" s="265" t="str">
        <x:v>Ganesh Maddi</x:v>
      </x:c>
      <x:c r="H9" s="265" t="str">
        <x:v>Seshu M</x:v>
      </x:c>
      <x:c r="I9" s="388" t="str">
        <x:v>Requester confirmed</x:v>
      </x:c>
      <x:c r="J9" s="266" t="n">
        <x:v>2.7666666666666666</x:v>
      </x:c>
      <x:c r="K9" s="260" t="str">
        <x:v>https://chat.google.com/app/chat/AAAAlHiS-SE/topic/MmhqL9EIF1s/message/MmhqL9EIF1s</x:v>
      </x:c>
      <x:c r="L9" s="2"/>
      <x:c r="M9" s="2"/>
      <x:c r="N9" s="2"/>
      <x:c r="O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</x:row>
  </x:sheetData>
  <x:mergeCells>
    <x:mergeCell ref="A2:K2"/>
    <x:mergeCell ref="A5:B5"/>
    <x:mergeCell ref="C5:D5"/>
    <x:mergeCell ref="A6:B6"/>
    <x:mergeCell ref="C6:D6"/>
  </x:mergeCells>
  <x:conditionalFormatting sqref="I9:I9">
    <x:cfRule type="containsText" dxfId="4" priority="1" operator="containsText" text="Requester confirmed"/>
    <x:cfRule type="containsText" dxfId="5" priority="2" operator="containsText" text="Resolver stated complete"/>
    <x:cfRule type="containsText" dxfId="6" priority="3" operator="containsText" text="Resolved by clarification"/>
    <x:cfRule type="containsText" dxfId="7" priority="4" operator="containsText" text="Verified working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9DC3E6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22" hidden="0" customWidth="1"/>
    <x:col min="2" max="2" width="25" hidden="0" customWidth="1"/>
    <x:col min="3" max="3" width="25" hidden="0" customWidth="1"/>
    <x:col min="4" max="4" width="28" hidden="0" customWidth="1"/>
    <x:col min="5" max="5" width="57" hidden="0" customWidth="1"/>
    <x:col min="6" max="6" width="66" hidden="0" customWidth="1"/>
    <x:col min="7" max="7" width="23" hidden="0" customWidth="1"/>
    <x:col min="8" max="8" width="24" hidden="0" customWidth="1"/>
    <x:col min="9" max="9" width="25" hidden="0" customWidth="1"/>
    <x:col min="10" max="10" width="21" hidden="0" customWidth="1"/>
    <x:col min="11" max="11" width="64" hidden="0" customWidth="1"/>
  </x:cols>
  <x:sheetData>
    <x:row r="1" ht="22" customHeight="1">
      <x:c r="A1" s="204"/>
      <x:c r="B1" s="204"/>
      <x:c r="C1" s="204"/>
      <x:c r="D1" s="204"/>
      <x:c r="E1" s="204"/>
      <x:c r="F1" s="204"/>
      <x:c r="G1" s="204"/>
      <x:c r="H1" s="204"/>
      <x:c r="I1" s="204"/>
      <x:c r="J1" s="204"/>
      <x:c r="K1" s="204"/>
      <x:c r="L1" s="2"/>
      <x:c r="M1" s="2"/>
      <x:c r="N1" s="2"/>
      <x:c r="O1" s="2"/>
    </x:row>
    <x:row r="2" ht="36" customHeight="1">
      <x:c r="A2" s="418" t="str">
        <x:v>Operations issues resolved — Week 2</x:v>
      </x:c>
      <x:c r="B2" s="418"/>
      <x:c r="C2" s="418"/>
      <x:c r="D2" s="418"/>
      <x:c r="E2" s="418"/>
      <x:c r="F2" s="418"/>
      <x:c r="G2" s="418"/>
      <x:c r="H2" s="418"/>
      <x:c r="I2" s="418"/>
      <x:c r="J2" s="418"/>
      <x:c r="K2" s="418"/>
      <x:c r="L2" s="2"/>
      <x:c r="M2" s="2"/>
      <x:c r="N2" s="2"/>
      <x:c r="O2" s="2"/>
    </x:row>
    <x:row r="3" ht="22" customHeight="1">
      <x:c r="A3" s="288" t="str">
        <x:v>5–11 October 2026 | Asia/Kolkata</x:v>
      </x:c>
      <x:c r="B3" s="289"/>
      <x:c r="C3" s="289"/>
      <x:c r="D3" s="289"/>
      <x:c r="E3" s="289"/>
      <x:c r="F3" s="289"/>
      <x:c r="G3" s="289"/>
      <x:c r="H3" s="289"/>
      <x:c r="I3" s="289"/>
      <x:c r="J3" s="289"/>
      <x:c r="K3" s="289"/>
      <x:c r="L3" s="2"/>
      <x:c r="M3" s="2"/>
      <x:c r="N3" s="2"/>
      <x:c r="O3" s="2"/>
    </x:row>
    <x:row r="4" ht="22" customHeight="1">
      <x:c r="A4" s="207"/>
      <x:c r="B4" s="207"/>
      <x:c r="C4" s="207"/>
      <x:c r="D4" s="207"/>
      <x:c r="E4" s="207"/>
      <x:c r="F4" s="207"/>
      <x:c r="G4" s="207"/>
      <x:c r="H4" s="207"/>
      <x:c r="I4" s="207"/>
      <x:c r="J4" s="207"/>
      <x:c r="K4" s="207"/>
      <x:c r="L4" s="5"/>
      <x:c r="M4" s="2"/>
      <x:c r="N4" s="2"/>
      <x:c r="O4" s="2"/>
    </x:row>
    <x:row r="5" ht="22" customHeight="1">
      <x:c r="A5" s="422" t="str">
        <x:v>Resolved items</x:v>
      </x:c>
      <x:c r="B5" s="422"/>
      <x:c r="C5" s="422" t="str">
        <x:v>Median turnaround (hours)</x:v>
      </x:c>
      <x:c r="D5" s="422"/>
      <x:c r="E5" s="204"/>
      <x:c r="F5" s="204"/>
      <x:c r="G5" s="204"/>
      <x:c r="H5" s="204"/>
      <x:c r="I5" s="204"/>
      <x:c r="J5" s="204"/>
      <x:c r="K5" s="204"/>
      <x:c r="L5" s="2"/>
      <x:c r="M5" s="2"/>
      <x:c r="N5" s="2"/>
      <x:c r="O5" s="2"/>
    </x:row>
    <x:row r="6" ht="22" customHeight="1">
      <x:c r="A6" s="426" t="n">
        <x:v>5</x:v>
      </x:c>
      <x:c r="B6" s="409"/>
      <x:c r="C6" s="430" t="n">
        <x:v>9.075</x:v>
      </x:c>
      <x:c r="D6" s="410"/>
      <x:c r="E6" s="204"/>
      <x:c r="F6" s="204"/>
      <x:c r="G6" s="204"/>
      <x:c r="H6" s="204"/>
      <x:c r="I6" s="204"/>
      <x:c r="J6" s="204"/>
      <x:c r="K6" s="204"/>
      <x:c r="L6" s="2"/>
      <x:c r="M6" s="2"/>
      <x:c r="N6" s="2"/>
      <x:c r="O6" s="2"/>
    </x:row>
    <x:row r="7" ht="22" customHeight="1">
      <x:c r="A7" s="204"/>
      <x:c r="B7" s="204"/>
      <x:c r="C7" s="204"/>
      <x:c r="D7" s="204"/>
      <x:c r="E7" s="204"/>
      <x:c r="F7" s="204"/>
      <x:c r="G7" s="204"/>
      <x:c r="H7" s="204"/>
      <x:c r="I7" s="204"/>
      <x:c r="J7" s="204"/>
      <x:c r="K7" s="204"/>
      <x:c r="L7" s="2"/>
      <x:c r="M7" s="2"/>
      <x:c r="N7" s="2"/>
      <x:c r="O7" s="2"/>
    </x:row>
    <x:row r="8" ht="38" customHeight="1">
      <x:c r="A8" s="348" t="str">
        <x:v>Issue ID</x:v>
      </x:c>
      <x:c r="B8" s="349" t="str">
        <x:v>Reported at (IST)</x:v>
      </x:c>
      <x:c r="C8" s="349" t="str">
        <x:v>Resolved at (IST)</x:v>
      </x:c>
      <x:c r="D8" s="349" t="str">
        <x:v>Category</x:v>
      </x:c>
      <x:c r="E8" s="349" t="str">
        <x:v>Issue or request</x:v>
      </x:c>
      <x:c r="F8" s="349" t="str">
        <x:v>Resolution</x:v>
      </x:c>
      <x:c r="G8" s="349" t="str">
        <x:v>Requested by</x:v>
      </x:c>
      <x:c r="H8" s="349" t="str">
        <x:v>Resolved by</x:v>
      </x:c>
      <x:c r="I8" s="349" t="str">
        <x:v>Evidence</x:v>
      </x:c>
      <x:c r="J8" s="349" t="str">
        <x:v>Turnaround (hours)</x:v>
      </x:c>
      <x:c r="K8" s="350" t="str">
        <x:v>Source</x:v>
      </x:c>
      <x:c r="L8" s="2"/>
      <x:c r="M8" s="2"/>
      <x:c r="N8" s="2"/>
      <x:c r="O8" s="2"/>
    </x:row>
    <x:row r="9" ht="66" customHeight="1">
      <x:c r="A9" s="382" t="str">
        <x:v>OP-2026-10-002</x:v>
      </x:c>
      <x:c r="B9" s="264"/>
      <x:c r="C9" s="264" t="d">
        <x:v>2026-10-05T07:24:00.000Z</x:v>
      </x:c>
      <x:c r="D9" s="265" t="str">
        <x:v>Certificate configuration</x:v>
      </x:c>
      <x:c r="E9" s="265" t="str">
        <x:v>Add the St. Francis College for Women faculty-development certificate template to the Google company.</x:v>
      </x:c>
      <x:c r="F9" s="265" t="str">
        <x:v>The certificate template was added and the requestor later thanked the resolver.</x:v>
      </x:c>
      <x:c r="G9" s="265" t="str">
        <x:v>Akshitha M</x:v>
      </x:c>
      <x:c r="H9" s="265" t="str">
        <x:v>Sudireddy Pavan Krishna</x:v>
      </x:c>
      <x:c r="I9" s="388" t="str">
        <x:v>Requester confirmed</x:v>
      </x:c>
      <x:c r="J9" s="266"/>
      <x:c r="K9" s="260" t="str">
        <x:v>https://chat.google.com/app/chat/AAAAlHiS-SE/topic/koU7t8Sr2QU/message/koU7t8Sr2QU</x:v>
      </x:c>
      <x:c r="L9" s="2"/>
      <x:c r="M9" s="2"/>
      <x:c r="N9" s="2"/>
      <x:c r="O9" s="2"/>
    </x:row>
    <x:row r="10" ht="66" customHeight="1">
      <x:c r="A10" s="383" t="str">
        <x:v>OP-2026-10-003</x:v>
      </x:c>
      <x:c r="B10" s="355" t="d">
        <x:v>2026-10-06T11:16:00.000Z</x:v>
      </x:c>
      <x:c r="C10" s="355" t="d">
        <x:v>2026-10-07T05:05:00.000Z</x:v>
      </x:c>
      <x:c r="D10" s="356" t="str">
        <x:v>User and account lookup</x:v>
      </x:c>
      <x:c r="E10" s="356" t="str">
        <x:v>Check whether a specified person existed in SmartInternz or SkillWallet.</x:v>
      </x:c>
      <x:c r="F10" s="356" t="str">
        <x:v>The team confirmed that the person was not present in either platform; the requestor acknowledged the result.</x:v>
      </x:c>
      <x:c r="G10" s="356" t="str">
        <x:v>Anjali Singh</x:v>
      </x:c>
      <x:c r="H10" s="356" t="str">
        <x:v>Sudireddy Pavan Krishna</x:v>
      </x:c>
      <x:c r="I10" s="389" t="str">
        <x:v>Requester confirmed</x:v>
      </x:c>
      <x:c r="J10" s="357" t="n">
        <x:v>17.816666666666666</x:v>
      </x:c>
      <x:c r="K10" s="354" t="str">
        <x:v>https://chat.google.com/app/chat/AAAAlHiS-SE/topic/BiRu251VLKI/message/BiRu251VLKI</x:v>
      </x:c>
      <x:c r="L10" s="2"/>
      <x:c r="M10" s="2"/>
      <x:c r="N10" s="2"/>
      <x:c r="O10" s="2"/>
    </x:row>
    <x:row r="11" ht="66" customHeight="1">
      <x:c r="A11" s="384" t="str">
        <x:v>OP-2026-10-004</x:v>
      </x:c>
      <x:c r="B11" s="268" t="d">
        <x:v>2026-10-07T07:10:00.000Z</x:v>
      </x:c>
      <x:c r="C11" s="268" t="d">
        <x:v>2026-10-07T08:51:00.000Z</x:v>
      </x:c>
      <x:c r="D11" s="269" t="str">
        <x:v>Enrollment management</x:v>
      </x:c>
      <x:c r="E11" s="269" t="str">
        <x:v>Unassign the specified EL program from the students in the corrected data file.</x:v>
      </x:c>
      <x:c r="F11" s="269" t="str">
        <x:v>The requested enrollments were removed.</x:v>
      </x:c>
      <x:c r="G11" s="269" t="str">
        <x:v>Surampudi Vasanth / Ganesh Maddi</x:v>
      </x:c>
      <x:c r="H11" s="269" t="str">
        <x:v>Seshu M</x:v>
      </x:c>
      <x:c r="I11" s="390" t="str">
        <x:v>Resolver stated complete</x:v>
      </x:c>
      <x:c r="J11" s="270" t="n">
        <x:v>1.6833333333333333</x:v>
      </x:c>
      <x:c r="K11" s="262" t="str">
        <x:v>https://chat.google.com/app/chat/AAAAlHiS-SE/topic/ALgoMcVMiq8/message/ALgoMcVMiq8</x:v>
      </x:c>
      <x:c r="L11" s="2"/>
      <x:c r="M11" s="2"/>
      <x:c r="N11" s="2"/>
      <x:c r="O11" s="2"/>
    </x:row>
    <x:row r="12" ht="66" customHeight="1">
      <x:c r="A12" s="383" t="str">
        <x:v>OP-2026-10-005</x:v>
      </x:c>
      <x:c r="B12" s="355" t="d">
        <x:v>2026-10-07T11:44:00.000Z</x:v>
      </x:c>
      <x:c r="C12" s="355" t="d">
        <x:v>2026-10-08T04:12:00.000Z</x:v>
      </x:c>
      <x:c r="D12" s="356" t="str">
        <x:v>Course configuration</x:v>
      </x:c>
      <x:c r="E12" s="356" t="str">
        <x:v>Remove Cloud Practitioner, Cybersecurity Analyst, Generative AI, and Vibe Coding from credit courses.</x:v>
      </x:c>
      <x:c r="F12" s="356" t="str">
        <x:v>The four credit courses were removed and sent for requestor verification.</x:v>
      </x:c>
      <x:c r="G12" s="356" t="str">
        <x:v>Anjali Singh</x:v>
      </x:c>
      <x:c r="H12" s="356" t="str">
        <x:v>Sudireddy Pavan Krishna</x:v>
      </x:c>
      <x:c r="I12" s="389" t="str">
        <x:v>Resolver stated complete</x:v>
      </x:c>
      <x:c r="J12" s="357" t="n">
        <x:v>16.466666666666665</x:v>
      </x:c>
      <x:c r="K12" s="354" t="str">
        <x:v>https://chat.google.com/app/chat/AAAAlHiS-SE/topic/5ppZH2BgMjA/message/5ppZH2BgMjA</x:v>
      </x:c>
      <x:c r="L12" s="2"/>
      <x:c r="M12" s="2"/>
      <x:c r="N12" s="2"/>
      <x:c r="O12" s="2"/>
    </x:row>
    <x:row r="13" ht="66" customHeight="1">
      <x:c r="A13" s="384" t="str">
        <x:v>OP-2026-10-006</x:v>
      </x:c>
      <x:c r="B13" s="268" t="d">
        <x:v>2026-10-09T05:46:00.000Z</x:v>
      </x:c>
      <x:c r="C13" s="268" t="d">
        <x:v>2026-10-09T06:33:59.999Z</x:v>
      </x:c>
      <x:c r="D13" s="269" t="str">
        <x:v>Certificate maintenance</x:v>
      </x:c>
      <x:c r="E13" s="269" t="str">
        <x:v>Update certificate dates for 123 students to 15 June 2026 through 15 September 2026.</x:v>
      </x:c>
      <x:c r="F13" s="269" t="str">
        <x:v>The certificate dates were updated and the requestor confirmed with thanks.</x:v>
      </x:c>
      <x:c r="G13" s="269" t="str">
        <x:v>Akshitha M</x:v>
      </x:c>
      <x:c r="H13" s="269" t="str">
        <x:v>Seshu M</x:v>
      </x:c>
      <x:c r="I13" s="390" t="str">
        <x:v>Requester confirmed</x:v>
      </x:c>
      <x:c r="J13" s="270" t="n">
        <x:v>0.8</x:v>
      </x:c>
      <x:c r="K13" s="262" t="str">
        <x:v>https://chat.google.com/app/chat/AAAAlHiS-SE/topic/2cxYxs7Wmwg/message/2cxYxs7Wmwg</x:v>
      </x:c>
      <x:c r="L13" s="2"/>
      <x:c r="M13" s="2"/>
      <x:c r="N13" s="2"/>
      <x:c r="O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</x:row>
  </x:sheetData>
  <x:mergeCells>
    <x:mergeCell ref="A2:K2"/>
    <x:mergeCell ref="A5:B5"/>
    <x:mergeCell ref="C5:D5"/>
    <x:mergeCell ref="A6:B6"/>
    <x:mergeCell ref="C6:D6"/>
  </x:mergeCells>
  <x:conditionalFormatting sqref="I9:I13">
    <x:cfRule type="containsText" dxfId="8" priority="1" operator="containsText" text="Requester confirmed"/>
    <x:cfRule type="containsText" dxfId="9" priority="2" operator="containsText" text="Resolver stated complete"/>
    <x:cfRule type="containsText" dxfId="10" priority="3" operator="containsText" text="Resolved by clarification"/>
    <x:cfRule type="containsText" dxfId="11" priority="4" operator="containsText" text="Verified working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22" hidden="0" customWidth="1"/>
    <x:col min="2" max="2" width="25" hidden="0" customWidth="1"/>
    <x:col min="3" max="3" width="25" hidden="0" customWidth="1"/>
    <x:col min="4" max="4" width="28" hidden="0" customWidth="1"/>
    <x:col min="5" max="5" width="57" hidden="0" customWidth="1"/>
    <x:col min="6" max="6" width="66" hidden="0" customWidth="1"/>
    <x:col min="7" max="7" width="23" hidden="0" customWidth="1"/>
    <x:col min="8" max="8" width="24" hidden="0" customWidth="1"/>
    <x:col min="9" max="9" width="25" hidden="0" customWidth="1"/>
    <x:col min="10" max="10" width="21" hidden="0" customWidth="1"/>
    <x:col min="11" max="11" width="64" hidden="0" customWidth="1"/>
  </x:cols>
  <x:sheetData>
    <x:row r="1" ht="22" customHeight="1">
      <x:c r="A1" s="204"/>
      <x:c r="B1" s="204"/>
      <x:c r="C1" s="204"/>
      <x:c r="D1" s="204"/>
      <x:c r="E1" s="204"/>
      <x:c r="F1" s="204"/>
      <x:c r="G1" s="204"/>
      <x:c r="H1" s="204"/>
      <x:c r="I1" s="204"/>
      <x:c r="J1" s="204"/>
      <x:c r="K1" s="204"/>
      <x:c r="L1" s="2"/>
      <x:c r="M1" s="2"/>
      <x:c r="N1" s="2"/>
      <x:c r="O1" s="2"/>
    </x:row>
    <x:row r="2" ht="36" customHeight="1">
      <x:c r="A2" s="418" t="str">
        <x:v>Operations issues resolved — Week 3</x:v>
      </x:c>
      <x:c r="B2" s="418"/>
      <x:c r="C2" s="418"/>
      <x:c r="D2" s="418"/>
      <x:c r="E2" s="418"/>
      <x:c r="F2" s="418"/>
      <x:c r="G2" s="418"/>
      <x:c r="H2" s="418"/>
      <x:c r="I2" s="418"/>
      <x:c r="J2" s="418"/>
      <x:c r="K2" s="418"/>
      <x:c r="L2" s="2"/>
      <x:c r="M2" s="2"/>
      <x:c r="N2" s="2"/>
      <x:c r="O2" s="2"/>
    </x:row>
    <x:row r="3" ht="22" customHeight="1">
      <x:c r="A3" s="288" t="str">
        <x:v>12–18 October 2026 | Asia/Kolkata</x:v>
      </x:c>
      <x:c r="B3" s="289"/>
      <x:c r="C3" s="289"/>
      <x:c r="D3" s="289"/>
      <x:c r="E3" s="289"/>
      <x:c r="F3" s="289"/>
      <x:c r="G3" s="289"/>
      <x:c r="H3" s="289"/>
      <x:c r="I3" s="289"/>
      <x:c r="J3" s="289"/>
      <x:c r="K3" s="289"/>
      <x:c r="L3" s="2"/>
      <x:c r="M3" s="2"/>
      <x:c r="N3" s="2"/>
      <x:c r="O3" s="2"/>
    </x:row>
    <x:row r="4" ht="22" customHeight="1">
      <x:c r="A4" s="207"/>
      <x:c r="B4" s="207"/>
      <x:c r="C4" s="207"/>
      <x:c r="D4" s="207"/>
      <x:c r="E4" s="207"/>
      <x:c r="F4" s="207"/>
      <x:c r="G4" s="207"/>
      <x:c r="H4" s="207"/>
      <x:c r="I4" s="207"/>
      <x:c r="J4" s="207"/>
      <x:c r="K4" s="207"/>
      <x:c r="L4" s="5"/>
      <x:c r="M4" s="2"/>
      <x:c r="N4" s="2"/>
      <x:c r="O4" s="2"/>
    </x:row>
    <x:row r="5" ht="22" customHeight="1">
      <x:c r="A5" s="422" t="str">
        <x:v>Resolved items</x:v>
      </x:c>
      <x:c r="B5" s="422"/>
      <x:c r="C5" s="422" t="str">
        <x:v>Median turnaround (hours)</x:v>
      </x:c>
      <x:c r="D5" s="422"/>
      <x:c r="E5" s="204"/>
      <x:c r="F5" s="204"/>
      <x:c r="G5" s="204"/>
      <x:c r="H5" s="204"/>
      <x:c r="I5" s="204"/>
      <x:c r="J5" s="204"/>
      <x:c r="K5" s="204"/>
      <x:c r="L5" s="2"/>
      <x:c r="M5" s="2"/>
      <x:c r="N5" s="2"/>
      <x:c r="O5" s="2"/>
    </x:row>
    <x:row r="6" ht="22" customHeight="1">
      <x:c r="A6" s="426" t="n">
        <x:v>5</x:v>
      </x:c>
      <x:c r="B6" s="409"/>
      <x:c r="C6" s="430" t="n">
        <x:v>38.35</x:v>
      </x:c>
      <x:c r="D6" s="410"/>
      <x:c r="E6" s="204"/>
      <x:c r="F6" s="204"/>
      <x:c r="G6" s="204"/>
      <x:c r="H6" s="204"/>
      <x:c r="I6" s="204"/>
      <x:c r="J6" s="204"/>
      <x:c r="K6" s="204"/>
      <x:c r="L6" s="2"/>
      <x:c r="M6" s="2"/>
      <x:c r="N6" s="2"/>
      <x:c r="O6" s="2"/>
    </x:row>
    <x:row r="7" ht="22" customHeight="1">
      <x:c r="A7" s="204"/>
      <x:c r="B7" s="204"/>
      <x:c r="C7" s="204"/>
      <x:c r="D7" s="204"/>
      <x:c r="E7" s="204"/>
      <x:c r="F7" s="204"/>
      <x:c r="G7" s="204"/>
      <x:c r="H7" s="204"/>
      <x:c r="I7" s="204"/>
      <x:c r="J7" s="204"/>
      <x:c r="K7" s="204"/>
      <x:c r="L7" s="2"/>
      <x:c r="M7" s="2"/>
      <x:c r="N7" s="2"/>
      <x:c r="O7" s="2"/>
    </x:row>
    <x:row r="8" ht="38" customHeight="1">
      <x:c r="A8" s="348" t="str">
        <x:v>Issue ID</x:v>
      </x:c>
      <x:c r="B8" s="349" t="str">
        <x:v>Reported at (IST)</x:v>
      </x:c>
      <x:c r="C8" s="349" t="str">
        <x:v>Resolved at (IST)</x:v>
      </x:c>
      <x:c r="D8" s="349" t="str">
        <x:v>Category</x:v>
      </x:c>
      <x:c r="E8" s="349" t="str">
        <x:v>Issue or request</x:v>
      </x:c>
      <x:c r="F8" s="349" t="str">
        <x:v>Resolution</x:v>
      </x:c>
      <x:c r="G8" s="349" t="str">
        <x:v>Requested by</x:v>
      </x:c>
      <x:c r="H8" s="349" t="str">
        <x:v>Resolved by</x:v>
      </x:c>
      <x:c r="I8" s="349" t="str">
        <x:v>Evidence</x:v>
      </x:c>
      <x:c r="J8" s="349" t="str">
        <x:v>Turnaround (hours)</x:v>
      </x:c>
      <x:c r="K8" s="350" t="str">
        <x:v>Source</x:v>
      </x:c>
      <x:c r="L8" s="2"/>
      <x:c r="M8" s="2"/>
      <x:c r="N8" s="2"/>
      <x:c r="O8" s="2"/>
    </x:row>
    <x:row r="9" ht="66" customHeight="1">
      <x:c r="A9" s="382" t="str">
        <x:v>OP-2026-10-007</x:v>
      </x:c>
      <x:c r="B9" s="264" t="d">
        <x:v>2026-10-10T18:12:00.000Z</x:v>
      </x:c>
      <x:c r="C9" s="264" t="d">
        <x:v>2026-10-12T08:32:59.999Z</x:v>
      </x:c>
      <x:c r="D9" s="265" t="str">
        <x:v>Platform issue fixes</x:v>
      </x:c>
      <x:c r="E9" s="265" t="str">
        <x:v>Resolve the SRM platform changes and issues listed in the shared Product tabs.</x:v>
      </x:c>
      <x:c r="F9" s="265" t="str">
        <x:v>The product team stated that the listed issues were fixed and asked Operations to verify.</x:v>
      </x:c>
      <x:c r="G9" s="265" t="str">
        <x:v>Anjali Singh</x:v>
      </x:c>
      <x:c r="H9" s="265" t="str">
        <x:v>Sudireddy Pavan Krishna</x:v>
      </x:c>
      <x:c r="I9" s="388" t="str">
        <x:v>Resolver stated complete</x:v>
      </x:c>
      <x:c r="J9" s="266" t="n">
        <x:v>38.35</x:v>
      </x:c>
      <x:c r="K9" s="260" t="str">
        <x:v>https://chat.google.com/app/chat/AAAAlHiS-SE/topic/An7cC-mY61s/message/An7cC-mY61s</x:v>
      </x:c>
      <x:c r="L9" s="2"/>
      <x:c r="M9" s="2"/>
      <x:c r="N9" s="2"/>
      <x:c r="O9" s="2"/>
    </x:row>
    <x:row r="10" ht="66" customHeight="1">
      <x:c r="A10" s="383" t="str">
        <x:v>OP-2026-10-008</x:v>
      </x:c>
      <x:c r="B10" s="355" t="d">
        <x:v>2026-10-09T06:29:00.000Z</x:v>
      </x:c>
      <x:c r="C10" s="355" t="d">
        <x:v>2026-10-13T08:51:59.999Z</x:v>
      </x:c>
      <x:c r="D10" s="356" t="str">
        <x:v>Certificate configuration</x:v>
      </x:c>
      <x:c r="E10" s="356" t="str">
        <x:v>Add the requested certificate template to the Salesforce company.</x:v>
      </x:c>
      <x:c r="F10" s="356" t="str">
        <x:v>The template was added and the requestor later thanked the resolver.</x:v>
      </x:c>
      <x:c r="G10" s="356" t="str">
        <x:v>Akshitha M</x:v>
      </x:c>
      <x:c r="H10" s="356" t="str">
        <x:v>Sudireddy Pavan Krishna</x:v>
      </x:c>
      <x:c r="I10" s="389" t="str">
        <x:v>Requester confirmed</x:v>
      </x:c>
      <x:c r="J10" s="357" t="n">
        <x:v>98.38333333333334</x:v>
      </x:c>
      <x:c r="K10" s="354" t="str">
        <x:v>https://chat.google.com/app/chat/AAAAlHiS-SE/topic/P9Gt3_EkV7c/message/P9Gt3_EkV7c</x:v>
      </x:c>
      <x:c r="L10" s="2"/>
      <x:c r="M10" s="2"/>
      <x:c r="N10" s="2"/>
      <x:c r="O10" s="2"/>
    </x:row>
    <x:row r="11" ht="66" customHeight="1">
      <x:c r="A11" s="384" t="str">
        <x:v>OP-2026-10-009</x:v>
      </x:c>
      <x:c r="B11" s="268" t="d">
        <x:v>2026-10-09T10:11:00.000Z</x:v>
      </x:c>
      <x:c r="C11" s="268" t="d">
        <x:v>2026-10-14T09:44:00.000Z</x:v>
      </x:c>
      <x:c r="D11" s="269" t="str">
        <x:v>Assessment generation</x:v>
      </x:c>
      <x:c r="E11" s="269" t="str">
        <x:v>Assessment generation failed for the Prompt Engineering topic in AI Fundamentals and Python Programming.</x:v>
      </x:c>
      <x:c r="F11" s="269" t="str">
        <x:v>The assessment-generation flow was checked and verified as working correctly.</x:v>
      </x:c>
      <x:c r="G11" s="269" t="str">
        <x:v>Ganesh Maddi</x:v>
      </x:c>
      <x:c r="H11" s="269" t="str">
        <x:v>Mahesh Mallareddy</x:v>
      </x:c>
      <x:c r="I11" s="390" t="str">
        <x:v>Verified working</x:v>
      </x:c>
      <x:c r="J11" s="270" t="n">
        <x:v>119.55</x:v>
      </x:c>
      <x:c r="K11" s="262" t="str">
        <x:v>https://chat.google.com/app/chat/AAAAlHiS-SE/topic/GhtwSWifCTw/message/GhtwSWifCTw</x:v>
      </x:c>
      <x:c r="L11" s="2"/>
      <x:c r="M11" s="2"/>
      <x:c r="N11" s="2"/>
      <x:c r="O11" s="2"/>
    </x:row>
    <x:row r="12" ht="66" customHeight="1">
      <x:c r="A12" s="383" t="str">
        <x:v>OP-2026-10-010</x:v>
      </x:c>
      <x:c r="B12" s="355" t="d">
        <x:v>2026-10-15T06:38:00.000Z</x:v>
      </x:c>
      <x:c r="C12" s="355" t="d">
        <x:v>2026-10-15T11:29:00.000Z</x:v>
      </x:c>
      <x:c r="D12" s="356" t="str">
        <x:v>Learning activity behavior</x:v>
      </x:c>
      <x:c r="E12" s="356" t="str">
        <x:v>Flashcard results were expected after completion but were not displayed.</x:v>
      </x:c>
      <x:c r="F12" s="356" t="str">
        <x:v>The team clarified that flashcards do not produce a results view; this was expected behavior.</x:v>
      </x:c>
      <x:c r="G12" s="356" t="str">
        <x:v>Ganesh Maddi</x:v>
      </x:c>
      <x:c r="H12" s="356" t="str">
        <x:v>Vegina Pranathi</x:v>
      </x:c>
      <x:c r="I12" s="389" t="str">
        <x:v>Resolved by clarification</x:v>
      </x:c>
      <x:c r="J12" s="357" t="n">
        <x:v>4.85</x:v>
      </x:c>
      <x:c r="K12" s="354" t="str">
        <x:v>https://chat.google.com/app/chat/AAAAlHiS-SE/topic/rdB_mdkOmAA/message/rdB_mdkOmAA</x:v>
      </x:c>
      <x:c r="L12" s="2"/>
      <x:c r="M12" s="2"/>
      <x:c r="N12" s="2"/>
      <x:c r="O12" s="2"/>
    </x:row>
    <x:row r="13" ht="66" customHeight="1">
      <x:c r="A13" s="384" t="str">
        <x:v>OP-2026-10-011</x:v>
      </x:c>
      <x:c r="B13" s="268" t="d">
        <x:v>2026-10-15T06:38:00.000Z</x:v>
      </x:c>
      <x:c r="C13" s="268" t="d">
        <x:v>2026-10-15T11:29:00.000Z</x:v>
      </x:c>
      <x:c r="D13" s="269" t="str">
        <x:v>Learning progress</x:v>
      </x:c>
      <x:c r="E13" s="269" t="str">
        <x:v>Lab progress remained below 100% after deliverables were completed.</x:v>
      </x:c>
      <x:c r="F13" s="269" t="str">
        <x:v>The team explained the 90% deliverables and 10% viva weighting and confirmed that the student had not passed the viva.</x:v>
      </x:c>
      <x:c r="G13" s="269" t="str">
        <x:v>Ganesh Maddi</x:v>
      </x:c>
      <x:c r="H13" s="269" t="str">
        <x:v>Seshu M / Vegina Pranathi</x:v>
      </x:c>
      <x:c r="I13" s="390" t="str">
        <x:v>Resolved by clarification</x:v>
      </x:c>
      <x:c r="J13" s="270" t="n">
        <x:v>4.85</x:v>
      </x:c>
      <x:c r="K13" s="262" t="str">
        <x:v>https://chat.google.com/app/chat/AAAAlHiS-SE/topic/rdB_mdkOmAA/message/rdB_mdkOmAA</x:v>
      </x:c>
      <x:c r="L13" s="2"/>
      <x:c r="M13" s="2"/>
      <x:c r="N13" s="2"/>
      <x:c r="O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</x:row>
  </x:sheetData>
  <x:mergeCells>
    <x:mergeCell ref="A2:K2"/>
    <x:mergeCell ref="A5:B5"/>
    <x:mergeCell ref="C5:D5"/>
    <x:mergeCell ref="A6:B6"/>
    <x:mergeCell ref="C6:D6"/>
  </x:mergeCells>
  <x:conditionalFormatting sqref="I9:I13">
    <x:cfRule type="containsText" dxfId="12" priority="1" operator="containsText" text="Requester confirmed"/>
    <x:cfRule type="containsText" dxfId="13" priority="2" operator="containsText" text="Resolver stated complete"/>
    <x:cfRule type="containsText" dxfId="14" priority="3" operator="containsText" text="Resolved by clarification"/>
    <x:cfRule type="containsText" dxfId="15" priority="4" operator="containsText" text="Verified working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9DC3E6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22" hidden="0" customWidth="1"/>
    <x:col min="2" max="2" width="25" hidden="0" customWidth="1"/>
    <x:col min="3" max="3" width="25" hidden="0" customWidth="1"/>
    <x:col min="4" max="4" width="28" hidden="0" customWidth="1"/>
    <x:col min="5" max="5" width="57" hidden="0" customWidth="1"/>
    <x:col min="6" max="6" width="66" hidden="0" customWidth="1"/>
    <x:col min="7" max="7" width="23" hidden="0" customWidth="1"/>
    <x:col min="8" max="8" width="24" hidden="0" customWidth="1"/>
    <x:col min="9" max="9" width="25" hidden="0" customWidth="1"/>
    <x:col min="10" max="10" width="21" hidden="0" customWidth="1"/>
    <x:col min="11" max="11" width="64" hidden="0" customWidth="1"/>
  </x:cols>
  <x:sheetData>
    <x:row r="1" ht="22" customHeight="1">
      <x:c r="A1" s="204"/>
      <x:c r="B1" s="204"/>
      <x:c r="C1" s="204"/>
      <x:c r="D1" s="204"/>
      <x:c r="E1" s="204"/>
      <x:c r="F1" s="204"/>
      <x:c r="G1" s="204"/>
      <x:c r="H1" s="204"/>
      <x:c r="I1" s="204"/>
      <x:c r="J1" s="204"/>
      <x:c r="K1" s="204"/>
      <x:c r="L1" s="2"/>
      <x:c r="M1" s="2"/>
      <x:c r="N1" s="2"/>
      <x:c r="O1" s="2"/>
    </x:row>
    <x:row r="2" ht="36" customHeight="1">
      <x:c r="A2" s="418" t="str">
        <x:v>Operations issues resolved — Week 4</x:v>
      </x:c>
      <x:c r="B2" s="418"/>
      <x:c r="C2" s="418"/>
      <x:c r="D2" s="418"/>
      <x:c r="E2" s="418"/>
      <x:c r="F2" s="418"/>
      <x:c r="G2" s="418"/>
      <x:c r="H2" s="418"/>
      <x:c r="I2" s="418"/>
      <x:c r="J2" s="418"/>
      <x:c r="K2" s="418"/>
      <x:c r="L2" s="2"/>
      <x:c r="M2" s="2"/>
      <x:c r="N2" s="2"/>
      <x:c r="O2" s="2"/>
    </x:row>
    <x:row r="3" ht="22" customHeight="1">
      <x:c r="A3" s="288" t="str">
        <x:v>19–25 October 2026 | Asia/Kolkata</x:v>
      </x:c>
      <x:c r="B3" s="289"/>
      <x:c r="C3" s="289"/>
      <x:c r="D3" s="289"/>
      <x:c r="E3" s="289"/>
      <x:c r="F3" s="289"/>
      <x:c r="G3" s="289"/>
      <x:c r="H3" s="289"/>
      <x:c r="I3" s="289"/>
      <x:c r="J3" s="289"/>
      <x:c r="K3" s="289"/>
      <x:c r="L3" s="2"/>
      <x:c r="M3" s="2"/>
      <x:c r="N3" s="2"/>
      <x:c r="O3" s="2"/>
    </x:row>
    <x:row r="4" ht="22" customHeight="1">
      <x:c r="A4" s="207"/>
      <x:c r="B4" s="207"/>
      <x:c r="C4" s="207"/>
      <x:c r="D4" s="207"/>
      <x:c r="E4" s="207"/>
      <x:c r="F4" s="207"/>
      <x:c r="G4" s="207"/>
      <x:c r="H4" s="207"/>
      <x:c r="I4" s="207"/>
      <x:c r="J4" s="207"/>
      <x:c r="K4" s="207"/>
      <x:c r="L4" s="5"/>
      <x:c r="M4" s="2"/>
      <x:c r="N4" s="2"/>
      <x:c r="O4" s="2"/>
    </x:row>
    <x:row r="5" ht="22" customHeight="1">
      <x:c r="A5" s="422" t="str">
        <x:v>Resolved items</x:v>
      </x:c>
      <x:c r="B5" s="422"/>
      <x:c r="C5" s="422" t="str">
        <x:v>Median turnaround (hours)</x:v>
      </x:c>
      <x:c r="D5" s="422"/>
      <x:c r="E5" s="204"/>
      <x:c r="F5" s="204"/>
      <x:c r="G5" s="204"/>
      <x:c r="H5" s="204"/>
      <x:c r="I5" s="204"/>
      <x:c r="J5" s="204"/>
      <x:c r="K5" s="204"/>
      <x:c r="L5" s="2"/>
      <x:c r="M5" s="2"/>
      <x:c r="N5" s="2"/>
      <x:c r="O5" s="2"/>
    </x:row>
    <x:row r="6" ht="22" customHeight="1">
      <x:c r="A6" s="426" t="n">
        <x:v>2</x:v>
      </x:c>
      <x:c r="B6" s="409"/>
      <x:c r="C6" s="430" t="n">
        <x:v>1.1083333333333334</x:v>
      </x:c>
      <x:c r="D6" s="410"/>
      <x:c r="E6" s="204"/>
      <x:c r="F6" s="204"/>
      <x:c r="G6" s="204"/>
      <x:c r="H6" s="204"/>
      <x:c r="I6" s="204"/>
      <x:c r="J6" s="204"/>
      <x:c r="K6" s="204"/>
      <x:c r="L6" s="2"/>
      <x:c r="M6" s="2"/>
      <x:c r="N6" s="2"/>
      <x:c r="O6" s="2"/>
    </x:row>
    <x:row r="7" ht="22" customHeight="1">
      <x:c r="A7" s="204"/>
      <x:c r="B7" s="204"/>
      <x:c r="C7" s="204"/>
      <x:c r="D7" s="204"/>
      <x:c r="E7" s="204"/>
      <x:c r="F7" s="204"/>
      <x:c r="G7" s="204"/>
      <x:c r="H7" s="204"/>
      <x:c r="I7" s="204"/>
      <x:c r="J7" s="204"/>
      <x:c r="K7" s="204"/>
      <x:c r="L7" s="2"/>
      <x:c r="M7" s="2"/>
      <x:c r="N7" s="2"/>
      <x:c r="O7" s="2"/>
    </x:row>
    <x:row r="8" ht="38" customHeight="1">
      <x:c r="A8" s="348" t="str">
        <x:v>Issue ID</x:v>
      </x:c>
      <x:c r="B8" s="349" t="str">
        <x:v>Reported at (IST)</x:v>
      </x:c>
      <x:c r="C8" s="349" t="str">
        <x:v>Resolved at (IST)</x:v>
      </x:c>
      <x:c r="D8" s="349" t="str">
        <x:v>Category</x:v>
      </x:c>
      <x:c r="E8" s="349" t="str">
        <x:v>Issue or request</x:v>
      </x:c>
      <x:c r="F8" s="349" t="str">
        <x:v>Resolution</x:v>
      </x:c>
      <x:c r="G8" s="349" t="str">
        <x:v>Requested by</x:v>
      </x:c>
      <x:c r="H8" s="349" t="str">
        <x:v>Resolved by</x:v>
      </x:c>
      <x:c r="I8" s="349" t="str">
        <x:v>Evidence</x:v>
      </x:c>
      <x:c r="J8" s="349" t="str">
        <x:v>Turnaround (hours)</x:v>
      </x:c>
      <x:c r="K8" s="350" t="str">
        <x:v>Source</x:v>
      </x:c>
      <x:c r="L8" s="2"/>
      <x:c r="M8" s="2"/>
      <x:c r="N8" s="2"/>
      <x:c r="O8" s="2"/>
    </x:row>
    <x:row r="9" ht="66" customHeight="1">
      <x:c r="A9" s="382" t="str">
        <x:v>OP-2026-10-012</x:v>
      </x:c>
      <x:c r="B9" s="264" t="d">
        <x:v>2026-10-22T07:33:00.000Z</x:v>
      </x:c>
      <x:c r="C9" s="264" t="d">
        <x:v>2026-10-22T09:10:00.000Z</x:v>
      </x:c>
      <x:c r="D9" s="265" t="str">
        <x:v>Platform availability</x:v>
      </x:c>
      <x:c r="E9" s="265" t="str">
        <x:v>Troven was not working for the Operations user.</x:v>
      </x:c>
      <x:c r="F9" s="265" t="str">
        <x:v>After the team intervention, the requestor confirmed that Troven was working.</x:v>
      </x:c>
      <x:c r="G9" s="265" t="str">
        <x:v>Gautami Girikala</x:v>
      </x:c>
      <x:c r="H9" s="265" t="str">
        <x:v>Sandeep Doodigani</x:v>
      </x:c>
      <x:c r="I9" s="388" t="str">
        <x:v>Requester confirmed</x:v>
      </x:c>
      <x:c r="J9" s="266" t="n">
        <x:v>1.6166666666666667</x:v>
      </x:c>
      <x:c r="K9" s="260" t="str">
        <x:v>https://chat.google.com/app/chat/AAAAlHiS-SE/topic/hkinUmI4Meo/message/hkinUmI4Meo</x:v>
      </x:c>
      <x:c r="L9" s="2"/>
      <x:c r="M9" s="2"/>
      <x:c r="N9" s="2"/>
      <x:c r="O9" s="2"/>
    </x:row>
    <x:row r="10" ht="66" customHeight="1">
      <x:c r="A10" s="383" t="str">
        <x:v>OP-2026-10-013</x:v>
      </x:c>
      <x:c r="B10" s="355" t="d">
        <x:v>2026-10-24T11:14:00.000Z</x:v>
      </x:c>
      <x:c r="C10" s="355" t="d">
        <x:v>2026-10-24T11:50:00.000Z</x:v>
      </x:c>
      <x:c r="D10" s="356" t="str">
        <x:v>Assessment generation</x:v>
      </x:c>
      <x:c r="E10" s="356" t="str">
        <x:v>SRM students were unable to generate an assessment.</x:v>
      </x:c>
      <x:c r="F10" s="356" t="str">
        <x:v>The assessment flow was restored; the resolver asked Operations to check and the requestor confirmed with thanks.</x:v>
      </x:c>
      <x:c r="G10" s="356" t="str">
        <x:v>Akshitha M</x:v>
      </x:c>
      <x:c r="H10" s="356" t="str">
        <x:v>Vegina Pranathi</x:v>
      </x:c>
      <x:c r="I10" s="389" t="str">
        <x:v>Requester confirmed</x:v>
      </x:c>
      <x:c r="J10" s="357" t="n">
        <x:v>0.6</x:v>
      </x:c>
      <x:c r="K10" s="354" t="str">
        <x:v>https://chat.google.com/app/chat/AAAAlHiS-SE/topic/dSx1InbJSPw/message/dSx1InbJSPw</x:v>
      </x:c>
      <x:c r="L10" s="2"/>
      <x:c r="M10" s="2"/>
      <x:c r="N10" s="2"/>
      <x:c r="O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</x:row>
  </x:sheetData>
  <x:mergeCells>
    <x:mergeCell ref="A2:K2"/>
    <x:mergeCell ref="A5:B5"/>
    <x:mergeCell ref="C5:D5"/>
    <x:mergeCell ref="A6:B6"/>
    <x:mergeCell ref="C6:D6"/>
  </x:mergeCells>
  <x:conditionalFormatting sqref="I9:I10">
    <x:cfRule type="containsText" dxfId="16" priority="1" operator="containsText" text="Requester confirmed"/>
    <x:cfRule type="containsText" dxfId="17" priority="2" operator="containsText" text="Resolver stated complete"/>
    <x:cfRule type="containsText" dxfId="18" priority="3" operator="containsText" text="Resolved by clarification"/>
    <x:cfRule type="containsText" dxfId="19" priority="4" operator="containsText" text="Verified working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22" hidden="0" customWidth="1"/>
    <x:col min="2" max="2" width="25" hidden="0" customWidth="1"/>
    <x:col min="3" max="3" width="25" hidden="0" customWidth="1"/>
    <x:col min="4" max="4" width="28" hidden="0" customWidth="1"/>
    <x:col min="5" max="5" width="57" hidden="0" customWidth="1"/>
    <x:col min="6" max="6" width="66" hidden="0" customWidth="1"/>
    <x:col min="7" max="7" width="23" hidden="0" customWidth="1"/>
    <x:col min="8" max="8" width="24" hidden="0" customWidth="1"/>
    <x:col min="9" max="9" width="25" hidden="0" customWidth="1"/>
    <x:col min="10" max="10" width="21" hidden="0" customWidth="1"/>
    <x:col min="11" max="11" width="64" hidden="0" customWidth="1"/>
  </x:cols>
  <x:sheetData>
    <x:row r="1" ht="22" customHeight="1">
      <x:c r="A1" s="204"/>
      <x:c r="B1" s="204"/>
      <x:c r="C1" s="204"/>
      <x:c r="D1" s="204"/>
      <x:c r="E1" s="204"/>
      <x:c r="F1" s="204"/>
      <x:c r="G1" s="204"/>
      <x:c r="H1" s="204"/>
      <x:c r="I1" s="204"/>
      <x:c r="J1" s="204"/>
      <x:c r="K1" s="204"/>
      <x:c r="L1" s="2"/>
      <x:c r="M1" s="2"/>
      <x:c r="N1" s="2"/>
      <x:c r="O1" s="2"/>
    </x:row>
    <x:row r="2" ht="36" customHeight="1">
      <x:c r="A2" s="418" t="str">
        <x:v>Operations issues resolved — Week 5</x:v>
      </x:c>
      <x:c r="B2" s="418"/>
      <x:c r="C2" s="418"/>
      <x:c r="D2" s="418"/>
      <x:c r="E2" s="418"/>
      <x:c r="F2" s="418"/>
      <x:c r="G2" s="418"/>
      <x:c r="H2" s="418"/>
      <x:c r="I2" s="418"/>
      <x:c r="J2" s="418"/>
      <x:c r="K2" s="418"/>
      <x:c r="L2" s="2"/>
      <x:c r="M2" s="2"/>
      <x:c r="N2" s="2"/>
      <x:c r="O2" s="2"/>
    </x:row>
    <x:row r="3" ht="22" customHeight="1">
      <x:c r="A3" s="288" t="str">
        <x:v>26–31 October 2026 | Asia/Kolkata</x:v>
      </x:c>
      <x:c r="B3" s="289"/>
      <x:c r="C3" s="289"/>
      <x:c r="D3" s="289"/>
      <x:c r="E3" s="289"/>
      <x:c r="F3" s="289"/>
      <x:c r="G3" s="289"/>
      <x:c r="H3" s="289"/>
      <x:c r="I3" s="289"/>
      <x:c r="J3" s="289"/>
      <x:c r="K3" s="289"/>
      <x:c r="L3" s="2"/>
      <x:c r="M3" s="2"/>
      <x:c r="N3" s="2"/>
      <x:c r="O3" s="2"/>
    </x:row>
    <x:row r="4" ht="22" customHeight="1">
      <x:c r="A4" s="207"/>
      <x:c r="B4" s="207"/>
      <x:c r="C4" s="207"/>
      <x:c r="D4" s="207"/>
      <x:c r="E4" s="207"/>
      <x:c r="F4" s="207"/>
      <x:c r="G4" s="207"/>
      <x:c r="H4" s="207"/>
      <x:c r="I4" s="207"/>
      <x:c r="J4" s="207"/>
      <x:c r="K4" s="207"/>
      <x:c r="L4" s="5"/>
      <x:c r="M4" s="2"/>
      <x:c r="N4" s="2"/>
      <x:c r="O4" s="2"/>
    </x:row>
    <x:row r="5" ht="22" customHeight="1">
      <x:c r="A5" s="422" t="str">
        <x:v>Resolved items</x:v>
      </x:c>
      <x:c r="B5" s="422"/>
      <x:c r="C5" s="422" t="str">
        <x:v>Median turnaround (hours)</x:v>
      </x:c>
      <x:c r="D5" s="422"/>
      <x:c r="E5" s="204"/>
      <x:c r="F5" s="204"/>
      <x:c r="G5" s="204"/>
      <x:c r="H5" s="204"/>
      <x:c r="I5" s="204"/>
      <x:c r="J5" s="204"/>
      <x:c r="K5" s="204"/>
      <x:c r="L5" s="2"/>
      <x:c r="M5" s="2"/>
      <x:c r="N5" s="2"/>
      <x:c r="O5" s="2"/>
    </x:row>
    <x:row r="6" ht="22" customHeight="1">
      <x:c r="A6" s="426" t="n">
        <x:v>3</x:v>
      </x:c>
      <x:c r="B6" s="409"/>
      <x:c r="C6" s="430" t="n">
        <x:v>0.26666666666666666</x:v>
      </x:c>
      <x:c r="D6" s="410"/>
      <x:c r="E6" s="204"/>
      <x:c r="F6" s="204"/>
      <x:c r="G6" s="204"/>
      <x:c r="H6" s="204"/>
      <x:c r="I6" s="204"/>
      <x:c r="J6" s="204"/>
      <x:c r="K6" s="204"/>
      <x:c r="L6" s="2"/>
      <x:c r="M6" s="2"/>
      <x:c r="N6" s="2"/>
      <x:c r="O6" s="2"/>
    </x:row>
    <x:row r="7" ht="22" customHeight="1">
      <x:c r="A7" s="204"/>
      <x:c r="B7" s="204"/>
      <x:c r="C7" s="204"/>
      <x:c r="D7" s="204"/>
      <x:c r="E7" s="204"/>
      <x:c r="F7" s="204"/>
      <x:c r="G7" s="204"/>
      <x:c r="H7" s="204"/>
      <x:c r="I7" s="204"/>
      <x:c r="J7" s="204"/>
      <x:c r="K7" s="204"/>
      <x:c r="L7" s="2"/>
      <x:c r="M7" s="2"/>
      <x:c r="N7" s="2"/>
      <x:c r="O7" s="2"/>
    </x:row>
    <x:row r="8" ht="38" customHeight="1">
      <x:c r="A8" s="348" t="str">
        <x:v>Issue ID</x:v>
      </x:c>
      <x:c r="B8" s="349" t="str">
        <x:v>Reported at (IST)</x:v>
      </x:c>
      <x:c r="C8" s="349" t="str">
        <x:v>Resolved at (IST)</x:v>
      </x:c>
      <x:c r="D8" s="349" t="str">
        <x:v>Category</x:v>
      </x:c>
      <x:c r="E8" s="349" t="str">
        <x:v>Issue or request</x:v>
      </x:c>
      <x:c r="F8" s="349" t="str">
        <x:v>Resolution</x:v>
      </x:c>
      <x:c r="G8" s="349" t="str">
        <x:v>Requested by</x:v>
      </x:c>
      <x:c r="H8" s="349" t="str">
        <x:v>Resolved by</x:v>
      </x:c>
      <x:c r="I8" s="349" t="str">
        <x:v>Evidence</x:v>
      </x:c>
      <x:c r="J8" s="349" t="str">
        <x:v>Turnaround (hours)</x:v>
      </x:c>
      <x:c r="K8" s="350" t="str">
        <x:v>Source</x:v>
      </x:c>
      <x:c r="L8" s="2"/>
      <x:c r="M8" s="2"/>
      <x:c r="N8" s="2"/>
      <x:c r="O8" s="2"/>
    </x:row>
    <x:row r="9" ht="66" customHeight="1">
      <x:c r="A9" s="382" t="str">
        <x:v>OP-2026-10-014</x:v>
      </x:c>
      <x:c r="B9" s="264" t="d">
        <x:v>2026-10-26T04:30:00.000Z</x:v>
      </x:c>
      <x:c r="C9" s="264" t="d">
        <x:v>2026-10-26T05:03:59.999Z</x:v>
      </x:c>
      <x:c r="D9" s="265" t="str">
        <x:v>Student account issue</x:v>
      </x:c>
      <x:c r="E9" s="265" t="str">
        <x:v>Resolve a KIET student issue reported with an attached screenshot.</x:v>
      </x:c>
      <x:c r="F9" s="265" t="str">
        <x:v>The resolver stated that the issue was resolved and asked Operations to verify.</x:v>
      </x:c>
      <x:c r="G9" s="265" t="str">
        <x:v>Ganesh Maddi</x:v>
      </x:c>
      <x:c r="H9" s="265" t="str">
        <x:v>Vegina Pranathi</x:v>
      </x:c>
      <x:c r="I9" s="388" t="str">
        <x:v>Resolver stated complete</x:v>
      </x:c>
      <x:c r="J9" s="266" t="n">
        <x:v>0.5666666666666667</x:v>
      </x:c>
      <x:c r="K9" s="260" t="str">
        <x:v>https://chat.google.com/app/chat/AAAAlHiS-SE/topic/UxcQLQsTbY8/message/UxcQLQsTbY8</x:v>
      </x:c>
      <x:c r="L9" s="2"/>
      <x:c r="M9" s="2"/>
      <x:c r="N9" s="2"/>
      <x:c r="O9" s="2"/>
    </x:row>
    <x:row r="10" ht="66" customHeight="1">
      <x:c r="A10" s="383" t="str">
        <x:v>OP-2026-10-015</x:v>
      </x:c>
      <x:c r="B10" s="355" t="d">
        <x:v>2026-10-27T05:28:00.000Z</x:v>
      </x:c>
      <x:c r="C10" s="355" t="d">
        <x:v>2026-10-27T05:44:00.000Z</x:v>
      </x:c>
      <x:c r="D10" s="356" t="str">
        <x:v>Student data update</x:v>
      </x:c>
      <x:c r="E10" s="356" t="str">
        <x:v>Update student last names for the EL programme at Medicaps College using the supplied file.</x:v>
      </x:c>
      <x:c r="F10" s="356" t="str">
        <x:v>The student data was updated and returned to Operations for verification.</x:v>
      </x:c>
      <x:c r="G10" s="356" t="str">
        <x:v>Khushi Gupta</x:v>
      </x:c>
      <x:c r="H10" s="356" t="str">
        <x:v>Seshu M</x:v>
      </x:c>
      <x:c r="I10" s="389" t="str">
        <x:v>Resolver stated complete</x:v>
      </x:c>
      <x:c r="J10" s="357" t="n">
        <x:v>0.26666666666666666</x:v>
      </x:c>
      <x:c r="K10" s="354" t="str">
        <x:v>https://chat.google.com/app/chat/AAAAlHiS-SE/topic/i2GDTxuywYY/message/i2GDTxuywYY</x:v>
      </x:c>
      <x:c r="L10" s="2"/>
      <x:c r="M10" s="2"/>
      <x:c r="N10" s="2"/>
      <x:c r="O10" s="2"/>
    </x:row>
    <x:row r="11" ht="66" customHeight="1">
      <x:c r="A11" s="384" t="str">
        <x:v>OP-2026-10-016</x:v>
      </x:c>
      <x:c r="B11" s="268" t="d">
        <x:v>2026-10-27T09:25:00.000Z</x:v>
      </x:c>
      <x:c r="C11" s="268" t="d">
        <x:v>2026-10-27T09:33:00.000Z</x:v>
      </x:c>
      <x:c r="D11" s="269" t="str">
        <x:v>Student account issue</x:v>
      </x:c>
      <x:c r="E11" s="269" t="str">
        <x:v>A student could not log in and the error was reported as user not found.</x:v>
      </x:c>
      <x:c r="F11" s="269" t="str">
        <x:v>The account was confirmed active. The team identified the behavior as a wrong-password case and advised the forgot-password flow; the requestor acknowledged the guidance.</x:v>
      </x:c>
      <x:c r="G11" s="269" t="str">
        <x:v>Khushi Gupta</x:v>
      </x:c>
      <x:c r="H11" s="269" t="str">
        <x:v>Seshu M</x:v>
      </x:c>
      <x:c r="I11" s="390" t="str">
        <x:v>Requester confirmed</x:v>
      </x:c>
      <x:c r="J11" s="270" t="n">
        <x:v>0.13333333333333333</x:v>
      </x:c>
      <x:c r="K11" s="262" t="str">
        <x:v>https://chat.google.com/app/chat/AAAAlHiS-SE/topic/JSK30MDa7g8/message/JSK30MDa7g8</x:v>
      </x:c>
      <x:c r="L11" s="2"/>
      <x:c r="M11" s="2"/>
      <x:c r="N11" s="2"/>
      <x:c r="O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</x:row>
  </x:sheetData>
  <x:mergeCells>
    <x:mergeCell ref="A2:K2"/>
    <x:mergeCell ref="A5:B5"/>
    <x:mergeCell ref="C5:D5"/>
    <x:mergeCell ref="A6:B6"/>
    <x:mergeCell ref="C6:D6"/>
  </x:mergeCells>
  <x:conditionalFormatting sqref="I9:I11">
    <x:cfRule type="containsText" dxfId="20" priority="1" operator="containsText" text="Requester confirmed"/>
    <x:cfRule type="containsText" dxfId="21" priority="2" operator="containsText" text="Resolver stated complete"/>
    <x:cfRule type="containsText" dxfId="22" priority="3" operator="containsText" text="Resolved by clarification"/>
    <x:cfRule type="containsText" dxfId="23" priority="4" operator="containsText" text="Verified working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A5A5A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5" hidden="0" customWidth="1"/>
    <x:col min="3" max="3" width="25" hidden="0" customWidth="1"/>
    <x:col min="4" max="4" width="14" hidden="0" customWidth="1"/>
    <x:col min="5" max="5" width="29" hidden="0" customWidth="1"/>
    <x:col min="6" max="6" width="57" hidden="0" customWidth="1"/>
    <x:col min="7" max="7" width="66" hidden="0" customWidth="1"/>
    <x:col min="8" max="8" width="23" hidden="0" customWidth="1"/>
    <x:col min="9" max="9" width="24" hidden="0" customWidth="1"/>
    <x:col min="10" max="10" width="26" hidden="0" customWidth="1"/>
    <x:col min="11" max="11" width="21" hidden="0" customWidth="1"/>
    <x:col min="12" max="12" width="64" hidden="0" customWidth="1"/>
    <x:col min="13" max="13" width="22" hidden="0" customWidth="1"/>
    <x:col min="14" max="14" width="22" hidden="0" customWidth="1"/>
    <x:col min="15" max="15" width="22" hidden="0" customWidth="1"/>
  </x:cols>
  <x:sheetData>
    <x:row r="1" ht="38" customHeight="1">
      <x:c r="A1" s="348" t="str">
        <x:v>Issue ID</x:v>
      </x:c>
      <x:c r="B1" s="349" t="str">
        <x:v>Reported at (IST)</x:v>
      </x:c>
      <x:c r="C1" s="349" t="str">
        <x:v>Resolved at (IST)</x:v>
      </x:c>
      <x:c r="D1" s="349" t="str">
        <x:v>Week</x:v>
      </x:c>
      <x:c r="E1" s="349" t="str">
        <x:v>Category</x:v>
      </x:c>
      <x:c r="F1" s="349" t="str">
        <x:v>Issue or request</x:v>
      </x:c>
      <x:c r="G1" s="349" t="str">
        <x:v>Resolution</x:v>
      </x:c>
      <x:c r="H1" s="349" t="str">
        <x:v>Requested by</x:v>
      </x:c>
      <x:c r="I1" s="349" t="str">
        <x:v>Resolved by</x:v>
      </x:c>
      <x:c r="J1" s="349" t="str">
        <x:v>Evidence</x:v>
      </x:c>
      <x:c r="K1" s="349" t="str">
        <x:v>Turnaround (hours)</x:v>
      </x:c>
      <x:c r="L1" s="349" t="str">
        <x:v>Status</x:v>
      </x:c>
      <x:c r="M1" s="349" t="str">
        <x:v>Request source</x:v>
      </x:c>
      <x:c r="N1" s="349" t="str">
        <x:v>Resolution source</x:v>
      </x:c>
      <x:c r="O1" s="350" t="str">
        <x:v>Notes</x:v>
      </x:c>
    </x:row>
    <x:row r="2" ht="66" customHeight="1">
      <x:c r="A2" s="472" t="str">
        <x:v>OP-2026-10-001</x:v>
      </x:c>
      <x:c r="B2" s="449" t="d">
        <x:v>2026-10-01T06:45:00.000Z</x:v>
      </x:c>
      <x:c r="C2" s="449" t="d">
        <x:v>2026-10-01T09:31:00.000Z</x:v>
      </x:c>
      <x:c r="D2" s="448" t="str">
        <x:v>Week 1</x:v>
      </x:c>
      <x:c r="E2" s="450" t="str">
        <x:v>Platform administration</x:v>
      </x:c>
      <x:c r="F2" s="450" t="str">
        <x:v>Delete training calendars for three specified cohort IDs.</x:v>
      </x:c>
      <x:c r="G2" s="450" t="str">
        <x:v>The requestor confirmed that the calendar issue was resolved.</x:v>
      </x:c>
      <x:c r="H2" s="450" t="str">
        <x:v>Ganesh Maddi</x:v>
      </x:c>
      <x:c r="I2" s="450" t="str">
        <x:v>Seshu M</x:v>
      </x:c>
      <x:c r="J2" s="450" t="str">
        <x:v>Requester confirmed</x:v>
      </x:c>
      <x:c r="K2" s="462" t="n">
        <x:v>2.7666666666666666</x:v>
      </x:c>
      <x:c r="L2" s="463" t="str">
        <x:v>Resolved</x:v>
      </x:c>
      <x:c r="M2" s="450" t="str">
        <x:v>https://chat.google.com/app/chat/AAAAlHiS-SE/topic/HvBbFPvXJlA/message/HvBbFPvXJlA</x:v>
      </x:c>
      <x:c r="N2" s="450" t="str">
        <x:v>https://chat.google.com/app/chat/AAAAlHiS-SE/topic/MmhqL9EIF1s/message/MmhqL9EIF1s</x:v>
      </x:c>
      <x:c r="O2" s="450" t="str">
        <x:v>Cohort IDs retained only in the source message.</x:v>
      </x:c>
    </x:row>
    <x:row r="3" ht="66" customHeight="1">
      <x:c r="A3" s="384" t="str">
        <x:v>OP-2026-10-002</x:v>
      </x:c>
      <x:c r="B3" s="445"/>
      <x:c r="C3" s="445" t="d">
        <x:v>2026-10-05T07:24:00.000Z</x:v>
      </x:c>
      <x:c r="D3" s="262" t="str">
        <x:v>Week 2</x:v>
      </x:c>
      <x:c r="E3" s="269" t="str">
        <x:v>Certificate configuration</x:v>
      </x:c>
      <x:c r="F3" s="269" t="str">
        <x:v>Add the St. Francis College for Women faculty-development certificate template to the Google company.</x:v>
      </x:c>
      <x:c r="G3" s="269" t="str">
        <x:v>The certificate template was added and the requestor later thanked the resolver.</x:v>
      </x:c>
      <x:c r="H3" s="269" t="str">
        <x:v>Akshitha M</x:v>
      </x:c>
      <x:c r="I3" s="269" t="str">
        <x:v>Sudireddy Pavan Krishna</x:v>
      </x:c>
      <x:c r="J3" s="269" t="str">
        <x:v>Requester confirmed</x:v>
      </x:c>
      <x:c r="K3" s="464"/>
      <x:c r="L3" s="369" t="str">
        <x:v>Resolved</x:v>
      </x:c>
      <x:c r="M3" s="269" t="str"/>
      <x:c r="N3" s="269" t="str">
        <x:v>https://chat.google.com/app/chat/AAAAlHiS-SE/topic/koU7t8Sr2QU/message/koU7t8Sr2QU</x:v>
      </x:c>
      <x:c r="O3" s="269" t="str">
        <x:v>Original request timestamp was not available in the search results. Confirmation message: k54KvHSDyCU.</x:v>
      </x:c>
    </x:row>
    <x:row r="4" ht="66" customHeight="1">
      <x:c r="A4" s="383" t="str">
        <x:v>OP-2026-10-003</x:v>
      </x:c>
      <x:c r="B4" s="458" t="d">
        <x:v>2026-10-06T11:16:00.000Z</x:v>
      </x:c>
      <x:c r="C4" s="458" t="d">
        <x:v>2026-10-07T05:05:00.000Z</x:v>
      </x:c>
      <x:c r="D4" s="354" t="str">
        <x:v>Week 2</x:v>
      </x:c>
      <x:c r="E4" s="356" t="str">
        <x:v>User and account lookup</x:v>
      </x:c>
      <x:c r="F4" s="356" t="str">
        <x:v>Check whether a specified person existed in SmartInternz or SkillWallet.</x:v>
      </x:c>
      <x:c r="G4" s="356" t="str">
        <x:v>The team confirmed that the person was not present in either platform; the requestor acknowledged the result.</x:v>
      </x:c>
      <x:c r="H4" s="356" t="str">
        <x:v>Anjali Singh</x:v>
      </x:c>
      <x:c r="I4" s="356" t="str">
        <x:v>Sudireddy Pavan Krishna</x:v>
      </x:c>
      <x:c r="J4" s="356" t="str">
        <x:v>Requester confirmed</x:v>
      </x:c>
      <x:c r="K4" s="465" t="n">
        <x:v>17.816666666666666</x:v>
      </x:c>
      <x:c r="L4" s="367" t="str">
        <x:v>Resolved</x:v>
      </x:c>
      <x:c r="M4" s="356" t="str">
        <x:v>https://chat.google.com/app/chat/AAAAlHiS-SE/topic/4dpnCGfMIqk/message/4dpnCGfMIqk</x:v>
      </x:c>
      <x:c r="N4" s="356" t="str">
        <x:v>https://chat.google.com/app/chat/AAAAlHiS-SE/topic/BiRu251VLKI/message/BiRu251VLKI</x:v>
      </x:c>
      <x:c r="O4" s="356" t="str">
        <x:v>Personal email address excluded from this workbook.</x:v>
      </x:c>
    </x:row>
    <x:row r="5" ht="66" customHeight="1">
      <x:c r="A5" s="384" t="str">
        <x:v>OP-2026-10-004</x:v>
      </x:c>
      <x:c r="B5" s="445" t="d">
        <x:v>2026-10-07T07:10:00.000Z</x:v>
      </x:c>
      <x:c r="C5" s="445" t="d">
        <x:v>2026-10-07T08:51:00.000Z</x:v>
      </x:c>
      <x:c r="D5" s="262" t="str">
        <x:v>Week 2</x:v>
      </x:c>
      <x:c r="E5" s="269" t="str">
        <x:v>Enrollment management</x:v>
      </x:c>
      <x:c r="F5" s="269" t="str">
        <x:v>Unassign the specified EL program from the students in the corrected data file.</x:v>
      </x:c>
      <x:c r="G5" s="269" t="str">
        <x:v>The requested enrollments were removed.</x:v>
      </x:c>
      <x:c r="H5" s="269" t="str">
        <x:v>Surampudi Vasanth / Ganesh Maddi</x:v>
      </x:c>
      <x:c r="I5" s="269" t="str">
        <x:v>Seshu M</x:v>
      </x:c>
      <x:c r="J5" s="269" t="str">
        <x:v>Resolver stated complete</x:v>
      </x:c>
      <x:c r="K5" s="464" t="n">
        <x:v>1.6833333333333333</x:v>
      </x:c>
      <x:c r="L5" s="369" t="str">
        <x:v>Resolved</x:v>
      </x:c>
      <x:c r="M5" s="269" t="str">
        <x:v>https://chat.google.com/app/chat/AAAAlHiS-SE/topic/H_5t0RJt9GY/message/H_5t0RJt9GY</x:v>
      </x:c>
      <x:c r="N5" s="269" t="str">
        <x:v>https://chat.google.com/app/chat/AAAAlHiS-SE/topic/ALgoMcVMiq8/message/ALgoMcVMiq8</x:v>
      </x:c>
      <x:c r="O5" s="269" t="str">
        <x:v>Turnaround is measured from receipt of the corrected data.</x:v>
      </x:c>
    </x:row>
    <x:row r="6" ht="66" customHeight="1">
      <x:c r="A6" s="383" t="str">
        <x:v>OP-2026-10-005</x:v>
      </x:c>
      <x:c r="B6" s="458" t="d">
        <x:v>2026-10-07T11:44:00.000Z</x:v>
      </x:c>
      <x:c r="C6" s="458" t="d">
        <x:v>2026-10-08T04:12:00.000Z</x:v>
      </x:c>
      <x:c r="D6" s="354" t="str">
        <x:v>Week 2</x:v>
      </x:c>
      <x:c r="E6" s="356" t="str">
        <x:v>Course configuration</x:v>
      </x:c>
      <x:c r="F6" s="356" t="str">
        <x:v>Remove Cloud Practitioner, Cybersecurity Analyst, Generative AI, and Vibe Coding from credit courses.</x:v>
      </x:c>
      <x:c r="G6" s="356" t="str">
        <x:v>The four credit courses were removed and sent for requestor verification.</x:v>
      </x:c>
      <x:c r="H6" s="356" t="str">
        <x:v>Anjali Singh</x:v>
      </x:c>
      <x:c r="I6" s="356" t="str">
        <x:v>Sudireddy Pavan Krishna</x:v>
      </x:c>
      <x:c r="J6" s="356" t="str">
        <x:v>Resolver stated complete</x:v>
      </x:c>
      <x:c r="K6" s="465" t="n">
        <x:v>16.466666666666665</x:v>
      </x:c>
      <x:c r="L6" s="367" t="str">
        <x:v>Resolved</x:v>
      </x:c>
      <x:c r="M6" s="356" t="str">
        <x:v>https://chat.google.com/app/chat/AAAAlHiS-SE/topic/ksu1V50UGi8/message/ksu1V50UGi8</x:v>
      </x:c>
      <x:c r="N6" s="356" t="str">
        <x:v>https://chat.google.com/app/chat/AAAAlHiS-SE/topic/5ppZH2BgMjA/message/5ppZH2BgMjA</x:v>
      </x:c>
      <x:c r="O6" s="356" t="str">
        <x:v>No separate requester confirmation was found.</x:v>
      </x:c>
    </x:row>
    <x:row r="7" ht="66" customHeight="1">
      <x:c r="A7" s="384" t="str">
        <x:v>OP-2026-10-006</x:v>
      </x:c>
      <x:c r="B7" s="445" t="d">
        <x:v>2026-10-09T05:46:00.000Z</x:v>
      </x:c>
      <x:c r="C7" s="445" t="d">
        <x:v>2026-10-09T06:33:59.999Z</x:v>
      </x:c>
      <x:c r="D7" s="262" t="str">
        <x:v>Week 2</x:v>
      </x:c>
      <x:c r="E7" s="269" t="str">
        <x:v>Certificate maintenance</x:v>
      </x:c>
      <x:c r="F7" s="269" t="str">
        <x:v>Update certificate dates for 123 students to 15 June 2026 through 15 September 2026.</x:v>
      </x:c>
      <x:c r="G7" s="269" t="str">
        <x:v>The certificate dates were updated and the requestor confirmed with thanks.</x:v>
      </x:c>
      <x:c r="H7" s="269" t="str">
        <x:v>Akshitha M</x:v>
      </x:c>
      <x:c r="I7" s="269" t="str">
        <x:v>Seshu M</x:v>
      </x:c>
      <x:c r="J7" s="269" t="str">
        <x:v>Requester confirmed</x:v>
      </x:c>
      <x:c r="K7" s="464" t="n">
        <x:v>0.8</x:v>
      </x:c>
      <x:c r="L7" s="369" t="str">
        <x:v>Resolved</x:v>
      </x:c>
      <x:c r="M7" s="269" t="str">
        <x:v>https://chat.google.com/app/chat/AAAAlHiS-SE/topic/ihHw1iREtHY/message/ihHw1iREtHY</x:v>
      </x:c>
      <x:c r="N7" s="269" t="str">
        <x:v>https://chat.google.com/app/chat/AAAAlHiS-SE/topic/2cxYxs7Wmwg/message/2cxYxs7Wmwg</x:v>
      </x:c>
      <x:c r="O7" s="269" t="str">
        <x:v>Confirmation message: wV1LkmfM7XM.</x:v>
      </x:c>
    </x:row>
    <x:row r="8" ht="66" customHeight="1">
      <x:c r="A8" s="383" t="str">
        <x:v>OP-2026-10-007</x:v>
      </x:c>
      <x:c r="B8" s="458" t="d">
        <x:v>2026-10-10T18:12:00.000Z</x:v>
      </x:c>
      <x:c r="C8" s="458" t="d">
        <x:v>2026-10-12T08:32:59.999Z</x:v>
      </x:c>
      <x:c r="D8" s="354" t="str">
        <x:v>Week 3</x:v>
      </x:c>
      <x:c r="E8" s="356" t="str">
        <x:v>Platform issue fixes</x:v>
      </x:c>
      <x:c r="F8" s="356" t="str">
        <x:v>Resolve the SRM platform changes and issues listed in the shared Product tabs.</x:v>
      </x:c>
      <x:c r="G8" s="356" t="str">
        <x:v>The product team stated that the listed issues were fixed and asked Operations to verify.</x:v>
      </x:c>
      <x:c r="H8" s="356" t="str">
        <x:v>Anjali Singh</x:v>
      </x:c>
      <x:c r="I8" s="356" t="str">
        <x:v>Sudireddy Pavan Krishna</x:v>
      </x:c>
      <x:c r="J8" s="356" t="str">
        <x:v>Resolver stated complete</x:v>
      </x:c>
      <x:c r="K8" s="465" t="n">
        <x:v>38.35</x:v>
      </x:c>
      <x:c r="L8" s="367" t="str">
        <x:v>Resolved</x:v>
      </x:c>
      <x:c r="M8" s="356" t="str">
        <x:v>https://chat.google.com/app/chat/AAAAlHiS-SE/topic/dUgzKbM6ayc/message/dUgzKbM6ayc</x:v>
      </x:c>
      <x:c r="N8" s="356" t="str">
        <x:v>https://chat.google.com/app/chat/AAAAlHiS-SE/topic/An7cC-mY61s/message/An7cC-mY61s</x:v>
      </x:c>
      <x:c r="O8" s="356" t="str">
        <x:v>The linked document contains the detailed issue list.</x:v>
      </x:c>
    </x:row>
    <x:row r="9" ht="66" customHeight="1">
      <x:c r="A9" s="384" t="str">
        <x:v>OP-2026-10-008</x:v>
      </x:c>
      <x:c r="B9" s="445" t="d">
        <x:v>2026-10-09T06:29:00.000Z</x:v>
      </x:c>
      <x:c r="C9" s="445" t="d">
        <x:v>2026-10-13T08:51:59.999Z</x:v>
      </x:c>
      <x:c r="D9" s="262" t="str">
        <x:v>Week 3</x:v>
      </x:c>
      <x:c r="E9" s="269" t="str">
        <x:v>Certificate configuration</x:v>
      </x:c>
      <x:c r="F9" s="269" t="str">
        <x:v>Add the requested certificate template to the Salesforce company.</x:v>
      </x:c>
      <x:c r="G9" s="269" t="str">
        <x:v>The template was added and the requestor later thanked the resolver.</x:v>
      </x:c>
      <x:c r="H9" s="269" t="str">
        <x:v>Akshitha M</x:v>
      </x:c>
      <x:c r="I9" s="269" t="str">
        <x:v>Sudireddy Pavan Krishna</x:v>
      </x:c>
      <x:c r="J9" s="269" t="str">
        <x:v>Requester confirmed</x:v>
      </x:c>
      <x:c r="K9" s="464" t="n">
        <x:v>98.38333333333334</x:v>
      </x:c>
      <x:c r="L9" s="369" t="str">
        <x:v>Resolved</x:v>
      </x:c>
      <x:c r="M9" s="269" t="str">
        <x:v>https://chat.google.com/app/chat/AAAAlHiS-SE/topic/COs2gp6b8FQ/message/COs2gp6b8FQ</x:v>
      </x:c>
      <x:c r="N9" s="269" t="str">
        <x:v>https://chat.google.com/app/chat/AAAAlHiS-SE/topic/P9Gt3_EkV7c/message/P9Gt3_EkV7c</x:v>
      </x:c>
      <x:c r="O9" s="269" t="str">
        <x:v>Confirmation message: 9iG91yNJjUs.</x:v>
      </x:c>
    </x:row>
    <x:row r="10" ht="66" customHeight="1">
      <x:c r="A10" s="383" t="str">
        <x:v>OP-2026-10-009</x:v>
      </x:c>
      <x:c r="B10" s="458" t="d">
        <x:v>2026-10-09T10:11:00.000Z</x:v>
      </x:c>
      <x:c r="C10" s="458" t="d">
        <x:v>2026-10-14T09:44:00.000Z</x:v>
      </x:c>
      <x:c r="D10" s="354" t="str">
        <x:v>Week 3</x:v>
      </x:c>
      <x:c r="E10" s="356" t="str">
        <x:v>Assessment generation</x:v>
      </x:c>
      <x:c r="F10" s="356" t="str">
        <x:v>Assessment generation failed for the Prompt Engineering topic in AI Fundamentals and Python Programming.</x:v>
      </x:c>
      <x:c r="G10" s="356" t="str">
        <x:v>The assessment-generation flow was checked and verified as working correctly.</x:v>
      </x:c>
      <x:c r="H10" s="356" t="str">
        <x:v>Ganesh Maddi</x:v>
      </x:c>
      <x:c r="I10" s="356" t="str">
        <x:v>Mahesh Mallareddy</x:v>
      </x:c>
      <x:c r="J10" s="356" t="str">
        <x:v>Verified working</x:v>
      </x:c>
      <x:c r="K10" s="465" t="n">
        <x:v>119.55</x:v>
      </x:c>
      <x:c r="L10" s="367" t="str">
        <x:v>Resolved</x:v>
      </x:c>
      <x:c r="M10" s="356" t="str">
        <x:v>https://chat.google.com/app/chat/AAAAlHiS-SE/topic/5Df9fq-EkkY/message/5Df9fq-EkkY</x:v>
      </x:c>
      <x:c r="N10" s="356" t="str">
        <x:v>https://chat.google.com/app/chat/AAAAlHiS-SE/topic/GhtwSWifCTw/message/GhtwSWifCTw</x:v>
      </x:c>
      <x:c r="O10" s="356" t="str">
        <x:v>No separate requester confirmation was found.</x:v>
      </x:c>
    </x:row>
    <x:row r="11" ht="66" customHeight="1">
      <x:c r="A11" s="384" t="str">
        <x:v>OP-2026-10-010</x:v>
      </x:c>
      <x:c r="B11" s="445" t="d">
        <x:v>2026-10-15T06:38:00.000Z</x:v>
      </x:c>
      <x:c r="C11" s="445" t="d">
        <x:v>2026-10-15T11:29:00.000Z</x:v>
      </x:c>
      <x:c r="D11" s="262" t="str">
        <x:v>Week 3</x:v>
      </x:c>
      <x:c r="E11" s="269" t="str">
        <x:v>Learning activity behavior</x:v>
      </x:c>
      <x:c r="F11" s="269" t="str">
        <x:v>Flashcard results were expected after completion but were not displayed.</x:v>
      </x:c>
      <x:c r="G11" s="269" t="str">
        <x:v>The team clarified that flashcards do not produce a results view; this was expected behavior.</x:v>
      </x:c>
      <x:c r="H11" s="269" t="str">
        <x:v>Ganesh Maddi</x:v>
      </x:c>
      <x:c r="I11" s="269" t="str">
        <x:v>Vegina Pranathi</x:v>
      </x:c>
      <x:c r="J11" s="269" t="str">
        <x:v>Resolved by clarification</x:v>
      </x:c>
      <x:c r="K11" s="464" t="n">
        <x:v>4.85</x:v>
      </x:c>
      <x:c r="L11" s="369" t="str">
        <x:v>Resolved</x:v>
      </x:c>
      <x:c r="M11" s="269" t="str">
        <x:v>https://chat.google.com/app/chat/AAAAlHiS-SE/topic/GIHYFD6athQ/message/GIHYFD6athQ</x:v>
      </x:c>
      <x:c r="N11" s="269" t="str">
        <x:v>https://chat.google.com/app/chat/AAAAlHiS-SE/topic/rdB_mdkOmAA/message/rdB_mdkOmAA</x:v>
      </x:c>
      <x:c r="O11" s="269" t="str">
        <x:v>The clarification resolved the reported behavior without a product change.</x:v>
      </x:c>
    </x:row>
    <x:row r="12" ht="66" customHeight="1">
      <x:c r="A12" s="383" t="str">
        <x:v>OP-2026-10-011</x:v>
      </x:c>
      <x:c r="B12" s="458" t="d">
        <x:v>2026-10-15T06:38:00.000Z</x:v>
      </x:c>
      <x:c r="C12" s="458" t="d">
        <x:v>2026-10-15T11:29:00.000Z</x:v>
      </x:c>
      <x:c r="D12" s="354" t="str">
        <x:v>Week 3</x:v>
      </x:c>
      <x:c r="E12" s="356" t="str">
        <x:v>Learning progress</x:v>
      </x:c>
      <x:c r="F12" s="356" t="str">
        <x:v>Lab progress remained below 100% after deliverables were completed.</x:v>
      </x:c>
      <x:c r="G12" s="356" t="str">
        <x:v>The team explained the 90% deliverables and 10% viva weighting and confirmed that the student had not passed the viva.</x:v>
      </x:c>
      <x:c r="H12" s="356" t="str">
        <x:v>Ganesh Maddi</x:v>
      </x:c>
      <x:c r="I12" s="356" t="str">
        <x:v>Seshu M / Vegina Pranathi</x:v>
      </x:c>
      <x:c r="J12" s="356" t="str">
        <x:v>Resolved by clarification</x:v>
      </x:c>
      <x:c r="K12" s="465" t="n">
        <x:v>4.85</x:v>
      </x:c>
      <x:c r="L12" s="367" t="str">
        <x:v>Resolved</x:v>
      </x:c>
      <x:c r="M12" s="356" t="str">
        <x:v>https://chat.google.com/app/chat/AAAAlHiS-SE/topic/GIHYFD6athQ/message/GIHYFD6athQ</x:v>
      </x:c>
      <x:c r="N12" s="356" t="str">
        <x:v>https://chat.google.com/app/chat/AAAAlHiS-SE/topic/rdB_mdkOmAA/message/rdB_mdkOmAA</x:v>
      </x:c>
      <x:c r="O12" s="356" t="str">
        <x:v>Supporting diagnostic message: IMcKS2iP9yw.</x:v>
      </x:c>
    </x:row>
    <x:row r="13" ht="66" customHeight="1">
      <x:c r="A13" s="384" t="str">
        <x:v>OP-2026-10-012</x:v>
      </x:c>
      <x:c r="B13" s="445" t="d">
        <x:v>2026-10-22T07:33:00.000Z</x:v>
      </x:c>
      <x:c r="C13" s="445" t="d">
        <x:v>2026-10-22T09:10:00.000Z</x:v>
      </x:c>
      <x:c r="D13" s="262" t="str">
        <x:v>Week 4</x:v>
      </x:c>
      <x:c r="E13" s="269" t="str">
        <x:v>Platform availability</x:v>
      </x:c>
      <x:c r="F13" s="269" t="str">
        <x:v>Troven was not working for the Operations user.</x:v>
      </x:c>
      <x:c r="G13" s="269" t="str">
        <x:v>After the team intervention, the requestor confirmed that Troven was working.</x:v>
      </x:c>
      <x:c r="H13" s="269" t="str">
        <x:v>Gautami Girikala</x:v>
      </x:c>
      <x:c r="I13" s="269" t="str">
        <x:v>Sandeep Doodigani</x:v>
      </x:c>
      <x:c r="J13" s="269" t="str">
        <x:v>Requester confirmed</x:v>
      </x:c>
      <x:c r="K13" s="464" t="n">
        <x:v>1.6166666666666667</x:v>
      </x:c>
      <x:c r="L13" s="369" t="str">
        <x:v>Resolved</x:v>
      </x:c>
      <x:c r="M13" s="269" t="str">
        <x:v>https://chat.google.com/app/chat/AAAAlHiS-SE/topic/yEAEQNb0YOI/message/yEAEQNb0YOI</x:v>
      </x:c>
      <x:c r="N13" s="269" t="str">
        <x:v>https://chat.google.com/app/chat/AAAAlHiS-SE/topic/hkinUmI4Meo/message/hkinUmI4Meo</x:v>
      </x:c>
      <x:c r="O13" s="269" t="str">
        <x:v>Credentials shared in chat were intentionally excluded.</x:v>
      </x:c>
    </x:row>
    <x:row r="14" ht="66" customHeight="1">
      <x:c r="A14" s="383" t="str">
        <x:v>OP-2026-10-013</x:v>
      </x:c>
      <x:c r="B14" s="458" t="d">
        <x:v>2026-10-24T11:14:00.000Z</x:v>
      </x:c>
      <x:c r="C14" s="458" t="d">
        <x:v>2026-10-24T11:50:00.000Z</x:v>
      </x:c>
      <x:c r="D14" s="354" t="str">
        <x:v>Week 4</x:v>
      </x:c>
      <x:c r="E14" s="356" t="str">
        <x:v>Assessment generation</x:v>
      </x:c>
      <x:c r="F14" s="356" t="str">
        <x:v>SRM students were unable to generate an assessment.</x:v>
      </x:c>
      <x:c r="G14" s="356" t="str">
        <x:v>The assessment flow was restored; the resolver asked Operations to check and the requestor confirmed with thanks.</x:v>
      </x:c>
      <x:c r="H14" s="356" t="str">
        <x:v>Akshitha M</x:v>
      </x:c>
      <x:c r="I14" s="356" t="str">
        <x:v>Vegina Pranathi</x:v>
      </x:c>
      <x:c r="J14" s="356" t="str">
        <x:v>Requester confirmed</x:v>
      </x:c>
      <x:c r="K14" s="465" t="n">
        <x:v>0.6</x:v>
      </x:c>
      <x:c r="L14" s="367" t="str">
        <x:v>Resolved</x:v>
      </x:c>
      <x:c r="M14" s="356" t="str">
        <x:v>https://chat.google.com/app/chat/AAAAlHiS-SE/topic/saNBlGYIlqk/message/saNBlGYIlqk</x:v>
      </x:c>
      <x:c r="N14" s="356" t="str">
        <x:v>https://chat.google.com/app/chat/AAAAlHiS-SE/topic/dSx1InbJSPw/message/dSx1InbJSPw</x:v>
      </x:c>
      <x:c r="O14" s="356" t="str">
        <x:v>Confirmation message: I50TB06xsiA.</x:v>
      </x:c>
    </x:row>
    <x:row r="15" ht="66" customHeight="1">
      <x:c r="A15" s="384" t="str">
        <x:v>OP-2026-10-014</x:v>
      </x:c>
      <x:c r="B15" s="445" t="d">
        <x:v>2026-10-26T04:30:00.000Z</x:v>
      </x:c>
      <x:c r="C15" s="445" t="d">
        <x:v>2026-10-26T05:03:59.999Z</x:v>
      </x:c>
      <x:c r="D15" s="262" t="str">
        <x:v>Week 5</x:v>
      </x:c>
      <x:c r="E15" s="269" t="str">
        <x:v>Student account issue</x:v>
      </x:c>
      <x:c r="F15" s="269" t="str">
        <x:v>Resolve a KIET student issue reported with an attached screenshot.</x:v>
      </x:c>
      <x:c r="G15" s="269" t="str">
        <x:v>The resolver stated that the issue was resolved and asked Operations to verify.</x:v>
      </x:c>
      <x:c r="H15" s="269" t="str">
        <x:v>Ganesh Maddi</x:v>
      </x:c>
      <x:c r="I15" s="269" t="str">
        <x:v>Vegina Pranathi</x:v>
      </x:c>
      <x:c r="J15" s="269" t="str">
        <x:v>Resolver stated complete</x:v>
      </x:c>
      <x:c r="K15" s="464" t="n">
        <x:v>0.5666666666666667</x:v>
      </x:c>
      <x:c r="L15" s="369" t="str">
        <x:v>Resolved</x:v>
      </x:c>
      <x:c r="M15" s="269" t="str">
        <x:v>https://chat.google.com/app/chat/AAAAlHiS-SE/topic/TZwqCjzxZMg/message/TZwqCjzxZMg</x:v>
      </x:c>
      <x:c r="N15" s="269" t="str">
        <x:v>https://chat.google.com/app/chat/AAAAlHiS-SE/topic/UxcQLQsTbY8/message/UxcQLQsTbY8</x:v>
      </x:c>
      <x:c r="O15" s="269" t="str">
        <x:v>Student identifier masked; see the source message if operational follow-up is required.</x:v>
      </x:c>
    </x:row>
    <x:row r="16" ht="66" customHeight="1">
      <x:c r="A16" s="383" t="str">
        <x:v>OP-2026-10-015</x:v>
      </x:c>
      <x:c r="B16" s="458" t="d">
        <x:v>2026-10-27T05:28:00.000Z</x:v>
      </x:c>
      <x:c r="C16" s="458" t="d">
        <x:v>2026-10-27T05:44:00.000Z</x:v>
      </x:c>
      <x:c r="D16" s="354" t="str">
        <x:v>Week 5</x:v>
      </x:c>
      <x:c r="E16" s="356" t="str">
        <x:v>Student data update</x:v>
      </x:c>
      <x:c r="F16" s="356" t="str">
        <x:v>Update student last names for the EL programme at Medicaps College using the supplied file.</x:v>
      </x:c>
      <x:c r="G16" s="356" t="str">
        <x:v>The student data was updated and returned to Operations for verification.</x:v>
      </x:c>
      <x:c r="H16" s="356" t="str">
        <x:v>Khushi Gupta</x:v>
      </x:c>
      <x:c r="I16" s="356" t="str">
        <x:v>Seshu M</x:v>
      </x:c>
      <x:c r="J16" s="356" t="str">
        <x:v>Resolver stated complete</x:v>
      </x:c>
      <x:c r="K16" s="465" t="n">
        <x:v>0.26666666666666666</x:v>
      </x:c>
      <x:c r="L16" s="367" t="str">
        <x:v>Resolved</x:v>
      </x:c>
      <x:c r="M16" s="356" t="str">
        <x:v>https://chat.google.com/app/chat/AAAAlHiS-SE/topic/djWcrmfDiYw/message/djWcrmfDiYw</x:v>
      </x:c>
      <x:c r="N16" s="356" t="str">
        <x:v>https://chat.google.com/app/chat/AAAAlHiS-SE/topic/i2GDTxuywYY/message/i2GDTxuywYY</x:v>
      </x:c>
      <x:c r="O16" s="356" t="str">
        <x:v>Student names and email addresses are stored only in the source attachment.</x:v>
      </x:c>
    </x:row>
    <x:row r="17" ht="66" customHeight="1">
      <x:c r="A17" s="384" t="str">
        <x:v>OP-2026-10-016</x:v>
      </x:c>
      <x:c r="B17" s="445" t="d">
        <x:v>2026-10-27T09:25:00.000Z</x:v>
      </x:c>
      <x:c r="C17" s="445" t="d">
        <x:v>2026-10-27T09:33:00.000Z</x:v>
      </x:c>
      <x:c r="D17" s="262" t="str">
        <x:v>Week 5</x:v>
      </x:c>
      <x:c r="E17" s="269" t="str">
        <x:v>Student account issue</x:v>
      </x:c>
      <x:c r="F17" s="269" t="str">
        <x:v>A student could not log in and the error was reported as user not found.</x:v>
      </x:c>
      <x:c r="G17" s="269" t="str">
        <x:v>The account was confirmed active. The team identified the behavior as a wrong-password case and advised the forgot-password flow; the requestor acknowledged the guidance.</x:v>
      </x:c>
      <x:c r="H17" s="269" t="str">
        <x:v>Khushi Gupta</x:v>
      </x:c>
      <x:c r="I17" s="269" t="str">
        <x:v>Seshu M</x:v>
      </x:c>
      <x:c r="J17" s="269" t="str">
        <x:v>Requester confirmed</x:v>
      </x:c>
      <x:c r="K17" s="464" t="n">
        <x:v>0.13333333333333333</x:v>
      </x:c>
      <x:c r="L17" s="369" t="str">
        <x:v>Resolved</x:v>
      </x:c>
      <x:c r="M17" s="269" t="str">
        <x:v>https://chat.google.com/app/chat/AAAAlHiS-SE/topic/8ECC4Fhc9Kw/message/8ECC4Fhc9Kw</x:v>
      </x:c>
      <x:c r="N17" s="269" t="str">
        <x:v>https://chat.google.com/app/chat/AAAAlHiS-SE/topic/JSK30MDa7g8/message/JSK30MDa7g8</x:v>
      </x:c>
      <x:c r="O17" s="269" t="str">
        <x:v>Personal email address excluded from this workbook.</x:v>
      </x:c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</x:row>
  </x:sheetData>
  <x:conditionalFormatting sqref="J2:J17">
    <x:cfRule type="containsText" dxfId="24" priority="1" operator="containsText" text="Requester confirmed"/>
    <x:cfRule type="containsText" dxfId="25" priority="2" operator="containsText" text="Resolver stated complete"/>
    <x:cfRule type="containsText" dxfId="26" priority="3" operator="containsText" text="Resolved by clarification"/>
    <x:cfRule type="containsText" dxfId="27" priority="4" operator="containsText" text="Verified working"/>
  </x:conditionalFormatting>
  <x:pageMargins left="0.7" right="0.7" top="0.75" bottom="0.75" header="0.3" footer="0.3"/>
</x:worksheet>
</file>